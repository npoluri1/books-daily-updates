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📊 Dashboard" sheetId="1" state="visible" r:id="rId1"/>
    <sheet xmlns:r="http://schemas.openxmlformats.org/officeDocument/2006/relationships" name="Tracker" sheetId="2" state="visible" r:id="rId2"/>
    <sheet xmlns:r="http://schemas.openxmlformats.org/officeDocument/2006/relationships" name="📅 Weekly Plan" sheetId="3" state="visible" r:id="rId3"/>
    <sheet xmlns:r="http://schemas.openxmlformats.org/officeDocument/2006/relationships" name="🧠 Mindset Shifts" sheetId="4" state="visible" r:id="rId4"/>
    <sheet xmlns:r="http://schemas.openxmlformats.org/officeDocument/2006/relationships" name="🚫 What to SKIP" sheetId="5" state="visible" r:id="rId5"/>
    <sheet xmlns:r="http://schemas.openxmlformats.org/officeDocument/2006/relationships" name="🔗 Resources" sheetId="6" state="visible" r:id="rId6"/>
  </sheets>
  <definedNames>
    <definedName name="_xlnm._FilterDatabase" localSheetId="1" hidden="1">'Tracker'!$A$1:$I$95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25">
    <font>
      <name val="Calibri"/>
      <family val="2"/>
      <color theme="1"/>
      <sz val="11"/>
      <scheme val="minor"/>
    </font>
    <font>
      <name val="Arial"/>
      <b val="1"/>
      <color rgb="00FFFFFF"/>
      <sz val="18"/>
    </font>
    <font>
      <name val="Arial"/>
      <i val="1"/>
      <color rgb="00555555"/>
      <sz val="11"/>
    </font>
    <font>
      <name val="Arial"/>
      <b val="1"/>
      <color rgb="001A3A6B"/>
      <sz val="13"/>
    </font>
    <font>
      <name val="Arial"/>
      <b val="1"/>
      <color rgb="00FFFFFF"/>
      <sz val="11"/>
    </font>
    <font>
      <name val="Arial"/>
      <b val="1"/>
      <sz val="11"/>
    </font>
    <font>
      <name val="Arial"/>
      <b val="1"/>
      <color rgb="001A3A6B"/>
      <sz val="11"/>
    </font>
    <font>
      <name val="Arial"/>
      <color rgb="0010B981"/>
      <sz val="11"/>
    </font>
    <font>
      <b val="1"/>
      <color rgb="0010B981"/>
    </font>
    <font>
      <name val="Arial"/>
      <sz val="11"/>
    </font>
    <font>
      <name val="Arial"/>
      <sz val="10"/>
    </font>
    <font>
      <name val="Arial"/>
      <b val="1"/>
      <sz val="9"/>
    </font>
    <font>
      <name val="Arial"/>
      <b val="1"/>
      <sz val="10"/>
    </font>
    <font>
      <name val="Arial"/>
      <i val="1"/>
      <color rgb="00555555"/>
      <sz val="10"/>
    </font>
    <font>
      <b val="1"/>
      <color rgb="00FFFFFF"/>
    </font>
    <font>
      <name val="Arial"/>
      <b val="1"/>
      <color rgb="00FFFFFF"/>
      <sz val="16"/>
    </font>
    <font>
      <name val="Arial"/>
      <b val="1"/>
      <color rgb="001A3A6B"/>
      <sz val="10"/>
    </font>
    <font>
      <i val="1"/>
      <color rgb="00555555"/>
      <sz val="11"/>
    </font>
    <font>
      <b val="1"/>
      <color rgb="001A3A6B"/>
    </font>
    <font>
      <name val="Arial"/>
      <color rgb="00EF4444"/>
      <sz val="10"/>
    </font>
    <font>
      <name val="Arial"/>
      <b val="1"/>
      <color rgb="001A3A6B"/>
      <sz val="14"/>
    </font>
    <font>
      <name val="Arial"/>
      <b val="1"/>
      <color rgb="0010B981"/>
      <sz val="10"/>
    </font>
    <font>
      <name val="Arial"/>
      <b val="1"/>
      <color rgb="00EF4444"/>
      <sz val="10"/>
    </font>
    <font>
      <name val="Arial"/>
      <b val="1"/>
      <color rgb="00F59E0B"/>
      <sz val="10"/>
    </font>
    <font>
      <name val="Arial"/>
      <b val="1"/>
      <color rgb="00888888"/>
      <sz val="10"/>
    </font>
  </fonts>
  <fills count="17">
    <fill>
      <patternFill/>
    </fill>
    <fill>
      <patternFill patternType="gray125"/>
    </fill>
    <fill>
      <patternFill patternType="solid">
        <fgColor rgb="001A3A6B"/>
      </patternFill>
    </fill>
    <fill>
      <patternFill patternType="solid">
        <fgColor rgb="00F0F4FF"/>
      </patternFill>
    </fill>
    <fill>
      <patternFill patternType="solid">
        <fgColor rgb="00DBEAFE"/>
      </patternFill>
    </fill>
    <fill>
      <patternFill patternType="solid">
        <fgColor rgb="00DCFCE7"/>
      </patternFill>
    </fill>
    <fill>
      <patternFill patternType="solid">
        <fgColor rgb="00FEF3C7"/>
      </patternFill>
    </fill>
    <fill>
      <patternFill patternType="solid">
        <fgColor rgb="00FCE7F3"/>
      </patternFill>
    </fill>
    <fill>
      <patternFill patternType="solid">
        <fgColor rgb="00FEE2E2"/>
      </patternFill>
    </fill>
    <fill>
      <patternFill patternType="solid">
        <fgColor rgb="00CCFBF1"/>
      </patternFill>
    </fill>
    <fill>
      <patternFill patternType="solid">
        <fgColor rgb="00EDE9FE"/>
      </patternFill>
    </fill>
    <fill>
      <patternFill patternType="solid">
        <fgColor rgb="00FFE4E6"/>
      </patternFill>
    </fill>
    <fill>
      <patternFill patternType="solid">
        <fgColor rgb="00E0E7FF"/>
      </patternFill>
    </fill>
    <fill>
      <patternFill patternType="solid">
        <fgColor rgb="00F3E8FF"/>
      </patternFill>
    </fill>
    <fill>
      <patternFill patternType="solid">
        <fgColor rgb="00FEF9C3"/>
      </patternFill>
    </fill>
    <fill>
      <patternFill patternType="solid">
        <fgColor rgb="00FFD700"/>
      </patternFill>
    </fill>
    <fill>
      <patternFill patternType="solid">
        <fgColor rgb="000F255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0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3" borderId="1" pivotButton="0" quotePrefix="0" xfId="0"/>
    <xf numFmtId="0" fontId="6" fillId="3" borderId="1" applyAlignment="1" pivotButton="0" quotePrefix="0" xfId="0">
      <alignment horizontal="center"/>
    </xf>
    <xf numFmtId="164" fontId="7" fillId="3" borderId="1" applyAlignment="1" pivotButton="0" quotePrefix="0" xfId="0">
      <alignment horizontal="center"/>
    </xf>
    <xf numFmtId="0" fontId="5" fillId="3" borderId="1" applyAlignment="1" pivotButton="0" quotePrefix="0" xfId="0">
      <alignment horizontal="center"/>
    </xf>
    <xf numFmtId="0" fontId="5" fillId="0" borderId="1" pivotButton="0" quotePrefix="0" xfId="0"/>
    <xf numFmtId="0" fontId="6" fillId="0" borderId="1" applyAlignment="1" pivotButton="0" quotePrefix="0" xfId="0">
      <alignment horizontal="center"/>
    </xf>
    <xf numFmtId="164" fontId="7" fillId="0" borderId="1" applyAlignment="1" pivotButton="0" quotePrefix="0" xfId="0">
      <alignment horizontal="center"/>
    </xf>
    <xf numFmtId="0" fontId="5" fillId="0" borderId="1" applyAlignment="1" pivotButton="0" quotePrefix="0" xfId="0">
      <alignment horizontal="center"/>
    </xf>
    <xf numFmtId="0" fontId="9" fillId="0" borderId="1" applyAlignment="1" pivotButton="0" quotePrefix="0" xfId="0">
      <alignment horizontal="center"/>
    </xf>
    <xf numFmtId="164" fontId="9" fillId="0" borderId="1" applyAlignment="1" pivotButton="0" quotePrefix="0" xfId="0">
      <alignment horizontal="center"/>
    </xf>
    <xf numFmtId="0" fontId="10" fillId="0" borderId="0" applyAlignment="1" pivotButton="0" quotePrefix="0" xfId="0">
      <alignment vertical="center"/>
    </xf>
    <xf numFmtId="0" fontId="11" fillId="4" borderId="1" applyAlignment="1" pivotButton="0" quotePrefix="0" xfId="0">
      <alignment horizontal="left" vertical="center" wrapText="1"/>
    </xf>
    <xf numFmtId="0" fontId="12" fillId="4" borderId="1" applyAlignment="1" pivotButton="0" quotePrefix="0" xfId="0">
      <alignment horizontal="left" vertical="center" wrapText="1"/>
    </xf>
    <xf numFmtId="0" fontId="10" fillId="4" borderId="1" applyAlignment="1" pivotButton="0" quotePrefix="0" xfId="0">
      <alignment horizontal="center" vertical="center" wrapText="1"/>
    </xf>
    <xf numFmtId="0" fontId="12" fillId="4" borderId="1" applyAlignment="1" pivotButton="0" quotePrefix="0" xfId="0">
      <alignment horizontal="center" vertical="center" wrapText="1"/>
    </xf>
    <xf numFmtId="0" fontId="13" fillId="4" borderId="1" applyAlignment="1" pivotButton="0" quotePrefix="0" xfId="0">
      <alignment horizontal="left" vertical="center" wrapText="1"/>
    </xf>
    <xf numFmtId="0" fontId="11" fillId="5" borderId="1" applyAlignment="1" pivotButton="0" quotePrefix="0" xfId="0">
      <alignment horizontal="left" vertical="center" wrapText="1"/>
    </xf>
    <xf numFmtId="0" fontId="12" fillId="5" borderId="1" applyAlignment="1" pivotButton="0" quotePrefix="0" xfId="0">
      <alignment horizontal="left" vertical="center" wrapText="1"/>
    </xf>
    <xf numFmtId="0" fontId="10" fillId="5" borderId="1" applyAlignment="1" pivotButton="0" quotePrefix="0" xfId="0">
      <alignment horizontal="center" vertical="center" wrapText="1"/>
    </xf>
    <xf numFmtId="0" fontId="12" fillId="5" borderId="1" applyAlignment="1" pivotButton="0" quotePrefix="0" xfId="0">
      <alignment horizontal="center" vertical="center" wrapText="1"/>
    </xf>
    <xf numFmtId="0" fontId="13" fillId="5" borderId="1" applyAlignment="1" pivotButton="0" quotePrefix="0" xfId="0">
      <alignment horizontal="left" vertical="center" wrapText="1"/>
    </xf>
    <xf numFmtId="0" fontId="11" fillId="6" borderId="1" applyAlignment="1" pivotButton="0" quotePrefix="0" xfId="0">
      <alignment horizontal="left" vertical="center" wrapText="1"/>
    </xf>
    <xf numFmtId="0" fontId="12" fillId="6" borderId="1" applyAlignment="1" pivotButton="0" quotePrefix="0" xfId="0">
      <alignment horizontal="left" vertical="center" wrapText="1"/>
    </xf>
    <xf numFmtId="0" fontId="10" fillId="6" borderId="1" applyAlignment="1" pivotButton="0" quotePrefix="0" xfId="0">
      <alignment horizontal="center" vertical="center" wrapText="1"/>
    </xf>
    <xf numFmtId="0" fontId="12" fillId="6" borderId="1" applyAlignment="1" pivotButton="0" quotePrefix="0" xfId="0">
      <alignment horizontal="center" vertical="center" wrapText="1"/>
    </xf>
    <xf numFmtId="0" fontId="13" fillId="6" borderId="1" applyAlignment="1" pivotButton="0" quotePrefix="0" xfId="0">
      <alignment horizontal="left" vertical="center" wrapText="1"/>
    </xf>
    <xf numFmtId="0" fontId="11" fillId="7" borderId="1" applyAlignment="1" pivotButton="0" quotePrefix="0" xfId="0">
      <alignment horizontal="left" vertical="center" wrapText="1"/>
    </xf>
    <xf numFmtId="0" fontId="12" fillId="7" borderId="1" applyAlignment="1" pivotButton="0" quotePrefix="0" xfId="0">
      <alignment horizontal="left" vertical="center" wrapText="1"/>
    </xf>
    <xf numFmtId="0" fontId="10" fillId="7" borderId="1" applyAlignment="1" pivotButton="0" quotePrefix="0" xfId="0">
      <alignment horizontal="center" vertical="center" wrapText="1"/>
    </xf>
    <xf numFmtId="0" fontId="12" fillId="7" borderId="1" applyAlignment="1" pivotButton="0" quotePrefix="0" xfId="0">
      <alignment horizontal="center" vertical="center" wrapText="1"/>
    </xf>
    <xf numFmtId="0" fontId="13" fillId="7" borderId="1" applyAlignment="1" pivotButton="0" quotePrefix="0" xfId="0">
      <alignment horizontal="left" vertical="center" wrapText="1"/>
    </xf>
    <xf numFmtId="0" fontId="11" fillId="8" borderId="1" applyAlignment="1" pivotButton="0" quotePrefix="0" xfId="0">
      <alignment horizontal="left" vertical="center" wrapText="1"/>
    </xf>
    <xf numFmtId="0" fontId="12" fillId="8" borderId="1" applyAlignment="1" pivotButton="0" quotePrefix="0" xfId="0">
      <alignment horizontal="left" vertical="center" wrapText="1"/>
    </xf>
    <xf numFmtId="0" fontId="10" fillId="8" borderId="1" applyAlignment="1" pivotButton="0" quotePrefix="0" xfId="0">
      <alignment horizontal="center" vertical="center" wrapText="1"/>
    </xf>
    <xf numFmtId="0" fontId="12" fillId="8" borderId="1" applyAlignment="1" pivotButton="0" quotePrefix="0" xfId="0">
      <alignment horizontal="center" vertical="center" wrapText="1"/>
    </xf>
    <xf numFmtId="0" fontId="13" fillId="8" borderId="1" applyAlignment="1" pivotButton="0" quotePrefix="0" xfId="0">
      <alignment horizontal="left" vertical="center" wrapText="1"/>
    </xf>
    <xf numFmtId="0" fontId="11" fillId="9" borderId="1" applyAlignment="1" pivotButton="0" quotePrefix="0" xfId="0">
      <alignment horizontal="left" vertical="center" wrapText="1"/>
    </xf>
    <xf numFmtId="0" fontId="12" fillId="9" borderId="1" applyAlignment="1" pivotButton="0" quotePrefix="0" xfId="0">
      <alignment horizontal="left" vertical="center" wrapText="1"/>
    </xf>
    <xf numFmtId="0" fontId="10" fillId="9" borderId="1" applyAlignment="1" pivotButton="0" quotePrefix="0" xfId="0">
      <alignment horizontal="center" vertical="center" wrapText="1"/>
    </xf>
    <xf numFmtId="0" fontId="12" fillId="9" borderId="1" applyAlignment="1" pivotButton="0" quotePrefix="0" xfId="0">
      <alignment horizontal="center" vertical="center" wrapText="1"/>
    </xf>
    <xf numFmtId="0" fontId="13" fillId="9" borderId="1" applyAlignment="1" pivotButton="0" quotePrefix="0" xfId="0">
      <alignment horizontal="left" vertical="center" wrapText="1"/>
    </xf>
    <xf numFmtId="0" fontId="11" fillId="10" borderId="1" applyAlignment="1" pivotButton="0" quotePrefix="0" xfId="0">
      <alignment horizontal="left" vertical="center" wrapText="1"/>
    </xf>
    <xf numFmtId="0" fontId="12" fillId="10" borderId="1" applyAlignment="1" pivotButton="0" quotePrefix="0" xfId="0">
      <alignment horizontal="left" vertical="center" wrapText="1"/>
    </xf>
    <xf numFmtId="0" fontId="10" fillId="10" borderId="1" applyAlignment="1" pivotButton="0" quotePrefix="0" xfId="0">
      <alignment horizontal="center" vertical="center" wrapText="1"/>
    </xf>
    <xf numFmtId="0" fontId="12" fillId="10" borderId="1" applyAlignment="1" pivotButton="0" quotePrefix="0" xfId="0">
      <alignment horizontal="center" vertical="center" wrapText="1"/>
    </xf>
    <xf numFmtId="0" fontId="13" fillId="10" borderId="1" applyAlignment="1" pivotButton="0" quotePrefix="0" xfId="0">
      <alignment horizontal="left" vertical="center" wrapText="1"/>
    </xf>
    <xf numFmtId="0" fontId="11" fillId="11" borderId="1" applyAlignment="1" pivotButton="0" quotePrefix="0" xfId="0">
      <alignment horizontal="left" vertical="center" wrapText="1"/>
    </xf>
    <xf numFmtId="0" fontId="12" fillId="11" borderId="1" applyAlignment="1" pivotButton="0" quotePrefix="0" xfId="0">
      <alignment horizontal="left" vertical="center" wrapText="1"/>
    </xf>
    <xf numFmtId="0" fontId="10" fillId="11" borderId="1" applyAlignment="1" pivotButton="0" quotePrefix="0" xfId="0">
      <alignment horizontal="center" vertical="center" wrapText="1"/>
    </xf>
    <xf numFmtId="0" fontId="12" fillId="11" borderId="1" applyAlignment="1" pivotButton="0" quotePrefix="0" xfId="0">
      <alignment horizontal="center" vertical="center" wrapText="1"/>
    </xf>
    <xf numFmtId="0" fontId="13" fillId="11" borderId="1" applyAlignment="1" pivotButton="0" quotePrefix="0" xfId="0">
      <alignment horizontal="left" vertical="center" wrapText="1"/>
    </xf>
    <xf numFmtId="0" fontId="11" fillId="12" borderId="1" applyAlignment="1" pivotButton="0" quotePrefix="0" xfId="0">
      <alignment horizontal="left" vertical="center" wrapText="1"/>
    </xf>
    <xf numFmtId="0" fontId="12" fillId="12" borderId="1" applyAlignment="1" pivotButton="0" quotePrefix="0" xfId="0">
      <alignment horizontal="left" vertical="center" wrapText="1"/>
    </xf>
    <xf numFmtId="0" fontId="10" fillId="12" borderId="1" applyAlignment="1" pivotButton="0" quotePrefix="0" xfId="0">
      <alignment horizontal="center" vertical="center" wrapText="1"/>
    </xf>
    <xf numFmtId="0" fontId="12" fillId="12" borderId="1" applyAlignment="1" pivotButton="0" quotePrefix="0" xfId="0">
      <alignment horizontal="center" vertical="center" wrapText="1"/>
    </xf>
    <xf numFmtId="0" fontId="13" fillId="12" borderId="1" applyAlignment="1" pivotButton="0" quotePrefix="0" xfId="0">
      <alignment horizontal="left" vertical="center" wrapText="1"/>
    </xf>
    <xf numFmtId="0" fontId="11" fillId="13" borderId="1" applyAlignment="1" pivotButton="0" quotePrefix="0" xfId="0">
      <alignment horizontal="left" vertical="center" wrapText="1"/>
    </xf>
    <xf numFmtId="0" fontId="12" fillId="13" borderId="1" applyAlignment="1" pivotButton="0" quotePrefix="0" xfId="0">
      <alignment horizontal="left" vertical="center" wrapText="1"/>
    </xf>
    <xf numFmtId="0" fontId="10" fillId="13" borderId="1" applyAlignment="1" pivotButton="0" quotePrefix="0" xfId="0">
      <alignment horizontal="center" vertical="center" wrapText="1"/>
    </xf>
    <xf numFmtId="0" fontId="12" fillId="13" borderId="1" applyAlignment="1" pivotButton="0" quotePrefix="0" xfId="0">
      <alignment horizontal="center" vertical="center" wrapText="1"/>
    </xf>
    <xf numFmtId="0" fontId="13" fillId="13" borderId="1" applyAlignment="1" pivotButton="0" quotePrefix="0" xfId="0">
      <alignment horizontal="left" vertical="center" wrapText="1"/>
    </xf>
    <xf numFmtId="0" fontId="11" fillId="14" borderId="1" applyAlignment="1" pivotButton="0" quotePrefix="0" xfId="0">
      <alignment horizontal="left" vertical="center" wrapText="1"/>
    </xf>
    <xf numFmtId="0" fontId="12" fillId="14" borderId="1" applyAlignment="1" pivotButton="0" quotePrefix="0" xfId="0">
      <alignment horizontal="left" vertical="center" wrapText="1"/>
    </xf>
    <xf numFmtId="0" fontId="10" fillId="14" borderId="1" applyAlignment="1" pivotButton="0" quotePrefix="0" xfId="0">
      <alignment horizontal="center" vertical="center" wrapText="1"/>
    </xf>
    <xf numFmtId="0" fontId="12" fillId="14" borderId="1" applyAlignment="1" pivotButton="0" quotePrefix="0" xfId="0">
      <alignment horizontal="center" vertical="center" wrapText="1"/>
    </xf>
    <xf numFmtId="0" fontId="13" fillId="14" borderId="1" applyAlignment="1" pivotButton="0" quotePrefix="0" xfId="0">
      <alignment horizontal="left" vertical="center" wrapText="1"/>
    </xf>
    <xf numFmtId="0" fontId="11" fillId="15" borderId="1" applyAlignment="1" pivotButton="0" quotePrefix="0" xfId="0">
      <alignment horizontal="left" vertical="center" wrapText="1"/>
    </xf>
    <xf numFmtId="0" fontId="12" fillId="15" borderId="1" applyAlignment="1" pivotButton="0" quotePrefix="0" xfId="0">
      <alignment horizontal="left" vertical="center" wrapText="1"/>
    </xf>
    <xf numFmtId="0" fontId="10" fillId="15" borderId="1" applyAlignment="1" pivotButton="0" quotePrefix="0" xfId="0">
      <alignment horizontal="center" vertical="center" wrapText="1"/>
    </xf>
    <xf numFmtId="0" fontId="12" fillId="15" borderId="1" applyAlignment="1" pivotButton="0" quotePrefix="0" xfId="0">
      <alignment horizontal="center" vertical="center" wrapText="1"/>
    </xf>
    <xf numFmtId="0" fontId="13" fillId="15" borderId="1" applyAlignment="1" pivotButton="0" quotePrefix="0" xfId="0">
      <alignment horizontal="left" vertical="center" wrapText="1"/>
    </xf>
    <xf numFmtId="0" fontId="14" fillId="16" borderId="1" applyAlignment="1" pivotButton="0" quotePrefix="0" xfId="0">
      <alignment horizontal="center" vertical="center"/>
    </xf>
    <xf numFmtId="0" fontId="0" fillId="16" borderId="1" applyAlignment="1" pivotButton="0" quotePrefix="0" xfId="0">
      <alignment horizontal="center" vertical="center"/>
    </xf>
    <xf numFmtId="0" fontId="15" fillId="2" borderId="0" applyAlignment="1" pivotButton="0" quotePrefix="0" xfId="0">
      <alignment horizontal="center" vertical="center"/>
    </xf>
    <xf numFmtId="0" fontId="12" fillId="3" borderId="1" applyAlignment="1" pivotButton="0" quotePrefix="0" xfId="0">
      <alignment horizontal="center" vertical="center" wrapText="1"/>
    </xf>
    <xf numFmtId="0" fontId="16" fillId="3" borderId="1" applyAlignment="1" pivotButton="0" quotePrefix="0" xfId="0">
      <alignment horizontal="center" vertical="center" wrapText="1"/>
    </xf>
    <xf numFmtId="0" fontId="10" fillId="3" borderId="1" applyAlignment="1" pivotButton="0" quotePrefix="0" xfId="0">
      <alignment horizontal="left" vertical="center" wrapText="1"/>
    </xf>
    <xf numFmtId="0" fontId="10" fillId="3" borderId="1" applyAlignment="1" pivotButton="0" quotePrefix="0" xfId="0">
      <alignment horizontal="center" vertical="center" wrapText="1"/>
    </xf>
    <xf numFmtId="0" fontId="12" fillId="0" borderId="1" applyAlignment="1" pivotButton="0" quotePrefix="0" xfId="0">
      <alignment horizontal="center" vertical="center" wrapText="1"/>
    </xf>
    <xf numFmtId="0" fontId="16" fillId="0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left" vertical="center" wrapText="1"/>
    </xf>
    <xf numFmtId="0" fontId="10" fillId="0" borderId="1" applyAlignment="1" pivotButton="0" quotePrefix="0" xfId="0">
      <alignment horizontal="center" vertical="center" wrapText="1"/>
    </xf>
    <xf numFmtId="0" fontId="17" fillId="0" borderId="0" applyAlignment="1" pivotButton="0" quotePrefix="0" xfId="0">
      <alignment horizontal="center" vertical="center"/>
    </xf>
    <xf numFmtId="0" fontId="18" fillId="3" borderId="1" applyAlignment="1" pivotButton="0" quotePrefix="0" xfId="0">
      <alignment horizontal="center" vertical="center" wrapText="1"/>
    </xf>
    <xf numFmtId="0" fontId="19" fillId="3" borderId="1" applyAlignment="1" pivotButton="0" quotePrefix="0" xfId="0">
      <alignment horizontal="left" vertical="center" wrapText="1"/>
    </xf>
    <xf numFmtId="0" fontId="20" fillId="3" borderId="1" applyAlignment="1" pivotButton="0" quotePrefix="0" xfId="0">
      <alignment horizontal="center" vertical="center" wrapText="1"/>
    </xf>
    <xf numFmtId="0" fontId="21" fillId="3" borderId="1" applyAlignment="1" pivotButton="0" quotePrefix="0" xfId="0">
      <alignment horizontal="left" vertical="center" wrapText="1"/>
    </xf>
    <xf numFmtId="0" fontId="18" fillId="0" borderId="1" applyAlignment="1" pivotButton="0" quotePrefix="0" xfId="0">
      <alignment horizontal="center" vertical="center" wrapText="1"/>
    </xf>
    <xf numFmtId="0" fontId="19" fillId="0" borderId="1" applyAlignment="1" pivotButton="0" quotePrefix="0" xfId="0">
      <alignment horizontal="left" vertical="center" wrapText="1"/>
    </xf>
    <xf numFmtId="0" fontId="20" fillId="0" borderId="1" applyAlignment="1" pivotButton="0" quotePrefix="0" xfId="0">
      <alignment horizontal="center" vertical="center" wrapText="1"/>
    </xf>
    <xf numFmtId="0" fontId="21" fillId="0" borderId="1" applyAlignment="1" pivotButton="0" quotePrefix="0" xfId="0">
      <alignment horizontal="left" vertical="center" wrapText="1"/>
    </xf>
    <xf numFmtId="0" fontId="12" fillId="3" borderId="1" applyAlignment="1" pivotButton="0" quotePrefix="0" xfId="0">
      <alignment horizontal="left" vertical="center" wrapText="1"/>
    </xf>
    <xf numFmtId="0" fontId="13" fillId="3" borderId="1" applyAlignment="1" pivotButton="0" quotePrefix="0" xfId="0">
      <alignment horizontal="left" vertical="center" wrapText="1"/>
    </xf>
    <xf numFmtId="0" fontId="22" fillId="3" borderId="1" applyAlignment="1" pivotButton="0" quotePrefix="0" xfId="0">
      <alignment horizontal="center"/>
    </xf>
    <xf numFmtId="0" fontId="12" fillId="0" borderId="1" applyAlignment="1" pivotButton="0" quotePrefix="0" xfId="0">
      <alignment horizontal="left" vertical="center" wrapText="1"/>
    </xf>
    <xf numFmtId="0" fontId="13" fillId="0" borderId="1" applyAlignment="1" pivotButton="0" quotePrefix="0" xfId="0">
      <alignment horizontal="left" vertical="center" wrapText="1"/>
    </xf>
    <xf numFmtId="0" fontId="22" fillId="0" borderId="1" applyAlignment="1" pivotButton="0" quotePrefix="0" xfId="0">
      <alignment horizontal="center"/>
    </xf>
    <xf numFmtId="0" fontId="23" fillId="0" borderId="1" applyAlignment="1" pivotButton="0" quotePrefix="0" xfId="0">
      <alignment horizontal="center"/>
    </xf>
    <xf numFmtId="0" fontId="23" fillId="3" borderId="1" applyAlignment="1" pivotButton="0" quotePrefix="0" xfId="0">
      <alignment horizontal="center"/>
    </xf>
    <xf numFmtId="0" fontId="24" fillId="0" borderId="1" applyAlignment="1" pivotButton="0" quotePrefix="0" xfId="0">
      <alignment horizontal="center"/>
    </xf>
    <xf numFmtId="0" fontId="24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48" customWidth="1" min="2" max="2"/>
    <col width="16" customWidth="1" min="3" max="3"/>
    <col width="16" customWidth="1" min="4" max="4"/>
    <col width="16" customWidth="1" min="5" max="5"/>
  </cols>
  <sheetData>
    <row r="1" ht="45" customHeight="1">
      <c r="A1" s="1" t="inlineStr">
        <is>
          <t>🎯  AI TECH STACK LEARNING TRACKER</t>
        </is>
      </c>
    </row>
    <row r="2" ht="25" customHeight="1">
      <c r="A2" s="2" t="inlineStr">
        <is>
          <t>Your personalized roadmap from LinkedIn research — track your progress week by week</t>
        </is>
      </c>
    </row>
    <row r="4">
      <c r="B4" s="3" t="inlineStr">
        <is>
          <t>📈 OVERALL PROGRESS</t>
        </is>
      </c>
    </row>
    <row r="6">
      <c r="B6" s="4" t="inlineStr">
        <is>
          <t>Metric</t>
        </is>
      </c>
      <c r="C6" s="4" t="inlineStr">
        <is>
          <t>Count</t>
        </is>
      </c>
      <c r="D6" s="4" t="inlineStr">
        <is>
          <t>%</t>
        </is>
      </c>
      <c r="E6" s="4" t="inlineStr">
        <is>
          <t>Status</t>
        </is>
      </c>
    </row>
    <row r="7">
      <c r="B7" s="5" t="inlineStr">
        <is>
          <t>📋 Total Topics</t>
        </is>
      </c>
      <c r="C7" s="6">
        <f>COUNTA(Tracker!B:B)-1</f>
        <v/>
      </c>
      <c r="D7" s="7" t="inlineStr"/>
      <c r="E7" s="8" t="inlineStr"/>
    </row>
    <row r="8">
      <c r="B8" s="9" t="inlineStr">
        <is>
          <t>✅ Completed</t>
        </is>
      </c>
      <c r="C8" s="10">
        <f>COUNTIF(Tracker!C:C,"✅ Done")</f>
        <v/>
      </c>
      <c r="D8" s="11">
        <f>C8/C7</f>
        <v/>
      </c>
      <c r="E8" s="12">
        <f>IF(C8/C7&gt;=0.7,"🔥 On fire!",IF(C8/C7&gt;=0.3,"💪 Progressing","🌱 Just starting"))</f>
        <v/>
      </c>
    </row>
    <row r="9">
      <c r="B9" s="5" t="inlineStr">
        <is>
          <t>🔄 In Progress</t>
        </is>
      </c>
      <c r="C9" s="6">
        <f>COUNTIF(Tracker!C:C,"🔄 In Progress")</f>
        <v/>
      </c>
      <c r="D9" s="7">
        <f>C9/C7</f>
        <v/>
      </c>
      <c r="E9" s="8" t="inlineStr"/>
    </row>
    <row r="10">
      <c r="B10" s="9" t="inlineStr">
        <is>
          <t>📌 To Do</t>
        </is>
      </c>
      <c r="C10" s="10">
        <f>COUNTIF(Tracker!C:C,"📌 To Do")</f>
        <v/>
      </c>
      <c r="D10" s="11">
        <f>C10/C7</f>
        <v/>
      </c>
      <c r="E10" s="12" t="inlineStr"/>
    </row>
    <row r="11">
      <c r="B11" s="5" t="inlineStr">
        <is>
          <t>⏭️ Skipped</t>
        </is>
      </c>
      <c r="C11" s="6">
        <f>COUNTIF(Tracker!C:C,"⏭️ Skipped")</f>
        <v/>
      </c>
      <c r="D11" s="7">
        <f>C11/C7</f>
        <v/>
      </c>
      <c r="E11" s="8" t="inlineStr"/>
    </row>
    <row r="12">
      <c r="B12" s="9" t="inlineStr">
        <is>
          <t>⏱️ Total Hours Planned</t>
        </is>
      </c>
      <c r="C12" s="10">
        <f>SUM(Tracker!F:F)</f>
        <v/>
      </c>
      <c r="D12" s="11" t="inlineStr"/>
      <c r="E12" s="12" t="inlineStr"/>
    </row>
    <row r="13">
      <c r="B13" s="5" t="inlineStr">
        <is>
          <t>⏱️ Hours Completed</t>
        </is>
      </c>
      <c r="C13" s="6">
        <f>SUMIFS(Tracker!F:F,Tracker!C:C,"✅ Done")</f>
        <v/>
      </c>
      <c r="D13" s="7">
        <f>C13/C12</f>
        <v/>
      </c>
      <c r="E13" s="8" t="inlineStr"/>
    </row>
    <row r="16">
      <c r="B16" s="3" t="inlineStr">
        <is>
          <t>🎯 PROGRESS BY PRIORITY</t>
        </is>
      </c>
    </row>
    <row r="18">
      <c r="B18" s="4" t="inlineStr">
        <is>
          <t>Priority</t>
        </is>
      </c>
      <c r="C18" s="4" t="inlineStr">
        <is>
          <t>Total</t>
        </is>
      </c>
      <c r="D18" s="4" t="inlineStr">
        <is>
          <t>Done</t>
        </is>
      </c>
      <c r="E18" s="4" t="inlineStr">
        <is>
          <t>%</t>
        </is>
      </c>
    </row>
    <row r="19">
      <c r="B19" s="9" t="inlineStr">
        <is>
          <t>🔴 Must</t>
        </is>
      </c>
      <c r="C19" s="13">
        <f>COUNTIF(Tracker!D:D,"Must")</f>
        <v/>
      </c>
      <c r="D19" s="13">
        <f>COUNTIFS(Tracker!D:D,"Must",Tracker!C:C,"✅ Done")</f>
        <v/>
      </c>
      <c r="E19" s="14">
        <f>IFERROR(D19/C19,0)</f>
        <v/>
      </c>
    </row>
    <row r="20">
      <c r="B20" s="9" t="inlineStr">
        <is>
          <t>🟠 High</t>
        </is>
      </c>
      <c r="C20" s="13">
        <f>COUNTIF(Tracker!D:D,"High")</f>
        <v/>
      </c>
      <c r="D20" s="13">
        <f>COUNTIFS(Tracker!D:D,"High",Tracker!C:C,"✅ Done")</f>
        <v/>
      </c>
      <c r="E20" s="14">
        <f>IFERROR(D20/C20,0)</f>
        <v/>
      </c>
    </row>
    <row r="21">
      <c r="B21" s="9" t="inlineStr">
        <is>
          <t>🟡 Medium</t>
        </is>
      </c>
      <c r="C21" s="13">
        <f>COUNTIF(Tracker!D:D,"Medium")</f>
        <v/>
      </c>
      <c r="D21" s="13">
        <f>COUNTIFS(Tracker!D:D,"Medium",Tracker!C:C,"✅ Done")</f>
        <v/>
      </c>
      <c r="E21" s="14">
        <f>IFERROR(D21/C21,0)</f>
        <v/>
      </c>
    </row>
    <row r="22">
      <c r="B22" s="9" t="inlineStr">
        <is>
          <t>🟢 Low</t>
        </is>
      </c>
      <c r="C22" s="13">
        <f>COUNTIF(Tracker!D:D,"Low")</f>
        <v/>
      </c>
      <c r="D22" s="13">
        <f>COUNTIFS(Tracker!D:D,"Low",Tracker!C:C,"✅ Done")</f>
        <v/>
      </c>
      <c r="E22" s="14">
        <f>IFERROR(D22/C22,0)</f>
        <v/>
      </c>
    </row>
    <row r="24">
      <c r="B24" s="3" t="inlineStr">
        <is>
          <t>💡 HOW TO USE THIS TRACKER</t>
        </is>
      </c>
    </row>
    <row r="25">
      <c r="B25" s="15" t="inlineStr">
        <is>
          <t>1. Go to the 'Tracker' tab — that's your main work area</t>
        </is>
      </c>
    </row>
    <row r="26">
      <c r="B26" s="15" t="inlineStr">
        <is>
          <t>2. Update the 'Status' column as you progress (click cell to see dropdown)</t>
        </is>
      </c>
    </row>
    <row r="27">
      <c r="B27" s="15" t="inlineStr">
        <is>
          <t>3. Use the 'Notes' column to log resources, links, or learnings</t>
        </is>
      </c>
    </row>
    <row r="28">
      <c r="B28" s="15" t="inlineStr">
        <is>
          <t>4. Fill in 'Started Date' and 'Completed Date' to track your timeline</t>
        </is>
      </c>
    </row>
    <row r="29">
      <c r="B29" s="15" t="inlineStr">
        <is>
          <t>5. Come back to this Dashboard to see overall progress</t>
        </is>
      </c>
    </row>
    <row r="30">
      <c r="B30" s="15" t="inlineStr">
        <is>
          <t>6. Focus on 🔴 Must-priority items first — skip nothing</t>
        </is>
      </c>
    </row>
    <row r="31">
      <c r="B31" s="15" t="inlineStr">
        <is>
          <t>7. The 'Weekly Plan' tab gives you a week-by-week structure</t>
        </is>
      </c>
    </row>
    <row r="32">
      <c r="B32" s="15" t="inlineStr">
        <is>
          <t>8. Celebrate milestones — 25%, 50%, 75%, 100% completion!</t>
        </is>
      </c>
    </row>
  </sheetData>
  <mergeCells count="10">
    <mergeCell ref="B31:E31"/>
    <mergeCell ref="B26:E26"/>
    <mergeCell ref="B27:E27"/>
    <mergeCell ref="A2:E2"/>
    <mergeCell ref="B30:E30"/>
    <mergeCell ref="B29:E29"/>
    <mergeCell ref="A1:E1"/>
    <mergeCell ref="B25:E25"/>
    <mergeCell ref="B28:E28"/>
    <mergeCell ref="B32:E3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58" customWidth="1" min="2" max="2"/>
    <col width="16" customWidth="1" min="3" max="3"/>
    <col width="12" customWidth="1" min="4" max="4"/>
    <col width="12" customWidth="1" min="5" max="5"/>
    <col width="8" customWidth="1" min="6" max="6"/>
    <col width="14" customWidth="1" min="7" max="7"/>
    <col width="15" customWidth="1" min="8" max="8"/>
    <col width="50" customWidth="1" min="9" max="9"/>
  </cols>
  <sheetData>
    <row r="1" ht="35" customHeight="1">
      <c r="A1" s="4" t="inlineStr">
        <is>
          <t>Section</t>
        </is>
      </c>
      <c r="B1" s="4" t="inlineStr">
        <is>
          <t>Topic</t>
        </is>
      </c>
      <c r="C1" s="4" t="inlineStr">
        <is>
          <t>Status</t>
        </is>
      </c>
      <c r="D1" s="4" t="inlineStr">
        <is>
          <t>Priority</t>
        </is>
      </c>
      <c r="E1" s="4" t="inlineStr">
        <is>
          <t>Difficulty</t>
        </is>
      </c>
      <c r="F1" s="4" t="inlineStr">
        <is>
          <t>Hours</t>
        </is>
      </c>
      <c r="G1" s="4" t="inlineStr">
        <is>
          <t>Started Date</t>
        </is>
      </c>
      <c r="H1" s="4" t="inlineStr">
        <is>
          <t>Completed Date</t>
        </is>
      </c>
      <c r="I1" s="4" t="inlineStr">
        <is>
          <t>Notes / Resources</t>
        </is>
      </c>
    </row>
    <row r="2">
      <c r="A2" s="16" t="inlineStr">
        <is>
          <t>TIER 1: FOUNDATIONS (Weeks 1-4)</t>
        </is>
      </c>
      <c r="B2" s="17" t="inlineStr">
        <is>
          <t>Python (advanced): async, type hints, decorators</t>
        </is>
      </c>
      <c r="C2" s="18" t="inlineStr">
        <is>
          <t>📌 To Do</t>
        </is>
      </c>
      <c r="D2" s="19" t="inlineStr">
        <is>
          <t>Must</t>
        </is>
      </c>
      <c r="E2" s="18" t="inlineStr">
        <is>
          <t>Medium</t>
        </is>
      </c>
      <c r="F2" s="18" t="n">
        <v>20</v>
      </c>
      <c r="G2" s="18" t="inlineStr"/>
      <c r="H2" s="18" t="inlineStr"/>
      <c r="I2" s="20" t="inlineStr">
        <is>
          <t>Core language for all AI work</t>
        </is>
      </c>
    </row>
    <row r="3">
      <c r="A3" s="16" t="inlineStr">
        <is>
          <t>TIER 1: FOUNDATIONS (Weeks 1-4)</t>
        </is>
      </c>
      <c r="B3" s="17" t="inlineStr">
        <is>
          <t>APIs &amp; JSON: structured data, parsing, validation</t>
        </is>
      </c>
      <c r="C3" s="18" t="inlineStr">
        <is>
          <t>📌 To Do</t>
        </is>
      </c>
      <c r="D3" s="19" t="inlineStr">
        <is>
          <t>Must</t>
        </is>
      </c>
      <c r="E3" s="18" t="inlineStr">
        <is>
          <t>Easy</t>
        </is>
      </c>
      <c r="F3" s="18" t="n">
        <v>8</v>
      </c>
      <c r="G3" s="18" t="inlineStr"/>
      <c r="H3" s="18" t="inlineStr"/>
      <c r="I3" s="20" t="inlineStr">
        <is>
          <t>Every agent wraps APIs</t>
        </is>
      </c>
    </row>
    <row r="4">
      <c r="A4" s="16" t="inlineStr">
        <is>
          <t>TIER 1: FOUNDATIONS (Weeks 1-4)</t>
        </is>
      </c>
      <c r="B4" s="17" t="inlineStr">
        <is>
          <t>LLM Fundamentals: tokens, context windows, temperature</t>
        </is>
      </c>
      <c r="C4" s="18" t="inlineStr">
        <is>
          <t>📌 To Do</t>
        </is>
      </c>
      <c r="D4" s="19" t="inlineStr">
        <is>
          <t>Must</t>
        </is>
      </c>
      <c r="E4" s="18" t="inlineStr">
        <is>
          <t>Easy</t>
        </is>
      </c>
      <c r="F4" s="18" t="n">
        <v>6</v>
      </c>
      <c r="G4" s="18" t="inlineStr"/>
      <c r="H4" s="18" t="inlineStr"/>
      <c r="I4" s="20" t="inlineStr">
        <is>
          <t>Understand constraints</t>
        </is>
      </c>
    </row>
    <row r="5">
      <c r="A5" s="16" t="inlineStr">
        <is>
          <t>TIER 1: FOUNDATIONS (Weeks 1-4)</t>
        </is>
      </c>
      <c r="B5" s="17" t="inlineStr">
        <is>
          <t>Prompt Engineering: Zero-shot, Few-shot, CoT, ReAct, ToT</t>
        </is>
      </c>
      <c r="C5" s="18" t="inlineStr">
        <is>
          <t>📌 To Do</t>
        </is>
      </c>
      <c r="D5" s="19" t="inlineStr">
        <is>
          <t>Must</t>
        </is>
      </c>
      <c r="E5" s="18" t="inlineStr">
        <is>
          <t>Medium</t>
        </is>
      </c>
      <c r="F5" s="18" t="n">
        <v>15</v>
      </c>
      <c r="G5" s="18" t="inlineStr"/>
      <c r="H5" s="18" t="inlineStr"/>
      <c r="I5" s="20" t="inlineStr">
        <is>
          <t>Different problems, different patterns</t>
        </is>
      </c>
    </row>
    <row r="6">
      <c r="A6" s="16" t="inlineStr">
        <is>
          <t>TIER 1: FOUNDATIONS (Weeks 1-4)</t>
        </is>
      </c>
      <c r="B6" s="17" t="inlineStr">
        <is>
          <t>Git + GitHub: version-controlled prompts &amp; agent code</t>
        </is>
      </c>
      <c r="C6" s="18" t="inlineStr">
        <is>
          <t>📌 To Do</t>
        </is>
      </c>
      <c r="D6" s="19" t="inlineStr">
        <is>
          <t>Must</t>
        </is>
      </c>
      <c r="E6" s="18" t="inlineStr">
        <is>
          <t>Easy</t>
        </is>
      </c>
      <c r="F6" s="18" t="n">
        <v>6</v>
      </c>
      <c r="G6" s="18" t="inlineStr"/>
      <c r="H6" s="18" t="inlineStr"/>
      <c r="I6" s="20" t="inlineStr">
        <is>
          <t>Prompts are code</t>
        </is>
      </c>
    </row>
    <row r="7">
      <c r="A7" s="16" t="inlineStr">
        <is>
          <t>TIER 1: FOUNDATIONS (Weeks 1-4)</t>
        </is>
      </c>
      <c r="B7" s="17" t="inlineStr">
        <is>
          <t>Logic &amp; control thinking: decision flows, loops, edge cases</t>
        </is>
      </c>
      <c r="C7" s="18" t="inlineStr">
        <is>
          <t>📌 To Do</t>
        </is>
      </c>
      <c r="D7" s="19" t="inlineStr">
        <is>
          <t>Must</t>
        </is>
      </c>
      <c r="E7" s="18" t="inlineStr">
        <is>
          <t>Medium</t>
        </is>
      </c>
      <c r="F7" s="18" t="n">
        <v>10</v>
      </c>
      <c r="G7" s="18" t="inlineStr"/>
      <c r="H7" s="18" t="inlineStr"/>
      <c r="I7" s="20" t="inlineStr">
        <is>
          <t>Agents fail when logic is weak</t>
        </is>
      </c>
    </row>
    <row r="8">
      <c r="A8" s="16" t="inlineStr">
        <is>
          <t>TIER 1: FOUNDATIONS (Weeks 1-4)</t>
        </is>
      </c>
      <c r="B8" s="17" t="inlineStr">
        <is>
          <t>Automation mindset: break workflows into repeatable steps</t>
        </is>
      </c>
      <c r="C8" s="18" t="inlineStr">
        <is>
          <t>📌 To Do</t>
        </is>
      </c>
      <c r="D8" s="19" t="inlineStr">
        <is>
          <t>Must</t>
        </is>
      </c>
      <c r="E8" s="18" t="inlineStr">
        <is>
          <t>Easy</t>
        </is>
      </c>
      <c r="F8" s="18" t="n">
        <v>5</v>
      </c>
      <c r="G8" s="18" t="inlineStr"/>
      <c r="H8" s="18" t="inlineStr"/>
      <c r="I8" s="20" t="inlineStr">
        <is>
          <t>Agents are systems, not scripts</t>
        </is>
      </c>
    </row>
    <row r="9">
      <c r="A9" s="21" t="inlineStr">
        <is>
          <t>TIER 2: CORE AI STACK (Weeks 5-10)</t>
        </is>
      </c>
      <c r="B9" s="22" t="inlineStr">
        <is>
          <t>Transformers: attention, tokenization, encoder/decoder</t>
        </is>
      </c>
      <c r="C9" s="23" t="inlineStr">
        <is>
          <t>📌 To Do</t>
        </is>
      </c>
      <c r="D9" s="24" t="inlineStr">
        <is>
          <t>High</t>
        </is>
      </c>
      <c r="E9" s="23" t="inlineStr">
        <is>
          <t>Hard</t>
        </is>
      </c>
      <c r="F9" s="23" t="n">
        <v>15</v>
      </c>
      <c r="G9" s="23" t="inlineStr"/>
      <c r="H9" s="23" t="inlineStr"/>
      <c r="I9" s="25" t="inlineStr">
        <is>
          <t>Concepts, not building from scratch</t>
        </is>
      </c>
    </row>
    <row r="10">
      <c r="A10" s="21" t="inlineStr">
        <is>
          <t>TIER 2: CORE AI STACK (Weeks 5-10)</t>
        </is>
      </c>
      <c r="B10" s="22" t="inlineStr">
        <is>
          <t>Embeddings: OpenAI, SBERT, Voyage AI</t>
        </is>
      </c>
      <c r="C10" s="23" t="inlineStr">
        <is>
          <t>📌 To Do</t>
        </is>
      </c>
      <c r="D10" s="24" t="inlineStr">
        <is>
          <t>Must</t>
        </is>
      </c>
      <c r="E10" s="23" t="inlineStr">
        <is>
          <t>Medium</t>
        </is>
      </c>
      <c r="F10" s="23" t="n">
        <v>10</v>
      </c>
      <c r="G10" s="23" t="inlineStr"/>
      <c r="H10" s="23" t="inlineStr"/>
      <c r="I10" s="25" t="inlineStr">
        <is>
          <t>Text to vectors</t>
        </is>
      </c>
    </row>
    <row r="11">
      <c r="A11" s="21" t="inlineStr">
        <is>
          <t>TIER 2: CORE AI STACK (Weeks 5-10)</t>
        </is>
      </c>
      <c r="B11" s="22" t="inlineStr">
        <is>
          <t>Postgres + pgvector (PRIORITY vector DB)</t>
        </is>
      </c>
      <c r="C11" s="23" t="inlineStr">
        <is>
          <t>📌 To Do</t>
        </is>
      </c>
      <c r="D11" s="24" t="inlineStr">
        <is>
          <t>Must</t>
        </is>
      </c>
      <c r="E11" s="23" t="inlineStr">
        <is>
          <t>Medium</t>
        </is>
      </c>
      <c r="F11" s="23" t="n">
        <v>12</v>
      </c>
      <c r="G11" s="23" t="inlineStr"/>
      <c r="H11" s="23" t="inlineStr"/>
      <c r="I11" s="25" t="inlineStr">
        <is>
          <t>Modern stack — single store</t>
        </is>
      </c>
    </row>
    <row r="12">
      <c r="A12" s="21" t="inlineStr">
        <is>
          <t>TIER 2: CORE AI STACK (Weeks 5-10)</t>
        </is>
      </c>
      <c r="B12" s="22" t="inlineStr">
        <is>
          <t>Pinecone / Qdrant / ChromaDB (alternatives)</t>
        </is>
      </c>
      <c r="C12" s="23" t="inlineStr">
        <is>
          <t>📌 To Do</t>
        </is>
      </c>
      <c r="D12" s="24" t="inlineStr">
        <is>
          <t>Medium</t>
        </is>
      </c>
      <c r="E12" s="23" t="inlineStr">
        <is>
          <t>Medium</t>
        </is>
      </c>
      <c r="F12" s="23" t="n">
        <v>8</v>
      </c>
      <c r="G12" s="23" t="inlineStr"/>
      <c r="H12" s="23" t="inlineStr"/>
      <c r="I12" s="25" t="inlineStr">
        <is>
          <t>Know at least one</t>
        </is>
      </c>
    </row>
    <row r="13">
      <c r="A13" s="21" t="inlineStr">
        <is>
          <t>TIER 2: CORE AI STACK (Weeks 5-10)</t>
        </is>
      </c>
      <c r="B13" s="22" t="inlineStr">
        <is>
          <t>RAG: chunking, retrieval, reranking, hybrid search</t>
        </is>
      </c>
      <c r="C13" s="23" t="inlineStr">
        <is>
          <t>📌 To Do</t>
        </is>
      </c>
      <c r="D13" s="24" t="inlineStr">
        <is>
          <t>Must</t>
        </is>
      </c>
      <c r="E13" s="23" t="inlineStr">
        <is>
          <t>Medium</t>
        </is>
      </c>
      <c r="F13" s="23" t="n">
        <v>20</v>
      </c>
      <c r="G13" s="23" t="inlineStr"/>
      <c r="H13" s="23" t="inlineStr"/>
      <c r="I13" s="25" t="inlineStr">
        <is>
          <t>One pattern — not default</t>
        </is>
      </c>
    </row>
    <row r="14">
      <c r="A14" s="21" t="inlineStr">
        <is>
          <t>TIER 2: CORE AI STACK (Weeks 5-10)</t>
        </is>
      </c>
      <c r="B14" s="22" t="inlineStr">
        <is>
          <t>GraphRAG: relationship-based queries</t>
        </is>
      </c>
      <c r="C14" s="23" t="inlineStr">
        <is>
          <t>📌 To Do</t>
        </is>
      </c>
      <c r="D14" s="24" t="inlineStr">
        <is>
          <t>Medium</t>
        </is>
      </c>
      <c r="E14" s="23" t="inlineStr">
        <is>
          <t>Hard</t>
        </is>
      </c>
      <c r="F14" s="23" t="n">
        <v>10</v>
      </c>
      <c r="G14" s="23" t="inlineStr"/>
      <c r="H14" s="23" t="inlineStr"/>
      <c r="I14" s="25" t="inlineStr">
        <is>
          <t>When relationships matter more than chunks</t>
        </is>
      </c>
    </row>
    <row r="15">
      <c r="A15" s="21" t="inlineStr">
        <is>
          <t>TIER 2: CORE AI STACK (Weeks 5-10)</t>
        </is>
      </c>
      <c r="B15" s="22" t="inlineStr">
        <is>
          <t>Agentic Search: dynamic query patterns</t>
        </is>
      </c>
      <c r="C15" s="23" t="inlineStr">
        <is>
          <t>📌 To Do</t>
        </is>
      </c>
      <c r="D15" s="24" t="inlineStr">
        <is>
          <t>Medium</t>
        </is>
      </c>
      <c r="E15" s="23" t="inlineStr">
        <is>
          <t>Medium</t>
        </is>
      </c>
      <c r="F15" s="23" t="n">
        <v>8</v>
      </c>
      <c r="G15" s="23" t="inlineStr"/>
      <c r="H15" s="23" t="inlineStr"/>
      <c r="I15" s="25" t="inlineStr">
        <is>
          <t>Alternative to RAG</t>
        </is>
      </c>
    </row>
    <row r="16">
      <c r="A16" s="21" t="inlineStr">
        <is>
          <t>TIER 2: CORE AI STACK (Weeks 5-10)</t>
        </is>
      </c>
      <c r="B16" s="22" t="inlineStr">
        <is>
          <t>Claude API: tool calling, structured outputs, streaming</t>
        </is>
      </c>
      <c r="C16" s="23" t="inlineStr">
        <is>
          <t>📌 To Do</t>
        </is>
      </c>
      <c r="D16" s="24" t="inlineStr">
        <is>
          <t>Must</t>
        </is>
      </c>
      <c r="E16" s="23" t="inlineStr">
        <is>
          <t>Medium</t>
        </is>
      </c>
      <c r="F16" s="23" t="n">
        <v>12</v>
      </c>
      <c r="G16" s="23" t="inlineStr"/>
      <c r="H16" s="23" t="inlineStr"/>
      <c r="I16" s="25" t="inlineStr">
        <is>
          <t>Your main LLM</t>
        </is>
      </c>
    </row>
    <row r="17">
      <c r="A17" s="21" t="inlineStr">
        <is>
          <t>TIER 2: CORE AI STACK (Weeks 5-10)</t>
        </is>
      </c>
      <c r="B17" s="22" t="inlineStr">
        <is>
          <t>OpenAI API fundamentals</t>
        </is>
      </c>
      <c r="C17" s="23" t="inlineStr">
        <is>
          <t>📌 To Do</t>
        </is>
      </c>
      <c r="D17" s="24" t="inlineStr">
        <is>
          <t>High</t>
        </is>
      </c>
      <c r="E17" s="23" t="inlineStr">
        <is>
          <t>Medium</t>
        </is>
      </c>
      <c r="F17" s="23" t="n">
        <v>8</v>
      </c>
      <c r="G17" s="23" t="inlineStr"/>
      <c r="H17" s="23" t="inlineStr"/>
      <c r="I17" s="25" t="inlineStr">
        <is>
          <t>Industry standard</t>
        </is>
      </c>
    </row>
    <row r="18">
      <c r="A18" s="21" t="inlineStr">
        <is>
          <t>TIER 2: CORE AI STACK (Weeks 5-10)</t>
        </is>
      </c>
      <c r="B18" s="22" t="inlineStr">
        <is>
          <t>Ollama: run local models (Gemma, Llama)</t>
        </is>
      </c>
      <c r="C18" s="23" t="inlineStr">
        <is>
          <t>📌 To Do</t>
        </is>
      </c>
      <c r="D18" s="24" t="inlineStr">
        <is>
          <t>Medium</t>
        </is>
      </c>
      <c r="E18" s="23" t="inlineStr">
        <is>
          <t>Easy</t>
        </is>
      </c>
      <c r="F18" s="23" t="n">
        <v>6</v>
      </c>
      <c r="G18" s="23" t="inlineStr"/>
      <c r="H18" s="23" t="inlineStr"/>
      <c r="I18" s="25" t="inlineStr">
        <is>
          <t>Privacy + cost savings</t>
        </is>
      </c>
    </row>
    <row r="19">
      <c r="A19" s="21" t="inlineStr">
        <is>
          <t>TIER 2: CORE AI STACK (Weeks 5-10)</t>
        </is>
      </c>
      <c r="B19" s="22" t="inlineStr">
        <is>
          <t>Hugging Face ecosystem</t>
        </is>
      </c>
      <c r="C19" s="23" t="inlineStr">
        <is>
          <t>📌 To Do</t>
        </is>
      </c>
      <c r="D19" s="24" t="inlineStr">
        <is>
          <t>Medium</t>
        </is>
      </c>
      <c r="E19" s="23" t="inlineStr">
        <is>
          <t>Medium</t>
        </is>
      </c>
      <c r="F19" s="23" t="n">
        <v>10</v>
      </c>
      <c r="G19" s="23" t="inlineStr"/>
      <c r="H19" s="23" t="inlineStr"/>
      <c r="I19" s="25" t="inlineStr">
        <is>
          <t>Open-source models</t>
        </is>
      </c>
    </row>
    <row r="20">
      <c r="A20" s="21" t="inlineStr">
        <is>
          <t>TIER 2: CORE AI STACK (Weeks 5-10)</t>
        </is>
      </c>
      <c r="B20" s="22" t="inlineStr">
        <is>
          <t>Data extraction: FireCrawl, Crawl4AI, LlamaParse</t>
        </is>
      </c>
      <c r="C20" s="23" t="inlineStr">
        <is>
          <t>📌 To Do</t>
        </is>
      </c>
      <c r="D20" s="24" t="inlineStr">
        <is>
          <t>Medium</t>
        </is>
      </c>
      <c r="E20" s="23" t="inlineStr">
        <is>
          <t>Easy</t>
        </is>
      </c>
      <c r="F20" s="23" t="n">
        <v>8</v>
      </c>
      <c r="G20" s="23" t="inlineStr"/>
      <c r="H20" s="23" t="inlineStr"/>
      <c r="I20" s="25" t="inlineStr">
        <is>
          <t>Real-world data feeding</t>
        </is>
      </c>
    </row>
    <row r="21">
      <c r="A21" s="26" t="inlineStr">
        <is>
          <t>TIER 3: AGENT BUILDING (Weeks 11-16)</t>
        </is>
      </c>
      <c r="B21" s="27" t="inlineStr">
        <is>
          <t>Tool Calling / Function Calling (native SDK)</t>
        </is>
      </c>
      <c r="C21" s="28" t="inlineStr">
        <is>
          <t>📌 To Do</t>
        </is>
      </c>
      <c r="D21" s="29" t="inlineStr">
        <is>
          <t>Must</t>
        </is>
      </c>
      <c r="E21" s="28" t="inlineStr">
        <is>
          <t>Medium</t>
        </is>
      </c>
      <c r="F21" s="28" t="n">
        <v>12</v>
      </c>
      <c r="G21" s="28" t="inlineStr"/>
      <c r="H21" s="28" t="inlineStr"/>
      <c r="I21" s="30" t="inlineStr">
        <is>
          <t>Skip heavy abstractions</t>
        </is>
      </c>
    </row>
    <row r="22">
      <c r="A22" s="26" t="inlineStr">
        <is>
          <t>TIER 3: AGENT BUILDING (Weeks 11-16)</t>
        </is>
      </c>
      <c r="B22" s="27" t="inlineStr">
        <is>
          <t>MCP (Model Context Protocol) — fundamentals</t>
        </is>
      </c>
      <c r="C22" s="28" t="inlineStr">
        <is>
          <t>📌 To Do</t>
        </is>
      </c>
      <c r="D22" s="29" t="inlineStr">
        <is>
          <t>Must</t>
        </is>
      </c>
      <c r="E22" s="28" t="inlineStr">
        <is>
          <t>Medium</t>
        </is>
      </c>
      <c r="F22" s="28" t="n">
        <v>15</v>
      </c>
      <c r="G22" s="28" t="inlineStr"/>
      <c r="H22" s="28" t="inlineStr"/>
      <c r="I22" s="30" t="inlineStr">
        <is>
          <t>Critical for 2026</t>
        </is>
      </c>
    </row>
    <row r="23">
      <c r="A23" s="26" t="inlineStr">
        <is>
          <t>TIER 3: AGENT BUILDING (Weeks 11-16)</t>
        </is>
      </c>
      <c r="B23" s="27" t="inlineStr">
        <is>
          <t>MCP Servers: stdio (local) + HTTP (remote)</t>
        </is>
      </c>
      <c r="C23" s="28" t="inlineStr">
        <is>
          <t>📌 To Do</t>
        </is>
      </c>
      <c r="D23" s="29" t="inlineStr">
        <is>
          <t>Must</t>
        </is>
      </c>
      <c r="E23" s="28" t="inlineStr">
        <is>
          <t>Hard</t>
        </is>
      </c>
      <c r="F23" s="28" t="n">
        <v>15</v>
      </c>
      <c r="G23" s="28" t="inlineStr"/>
      <c r="H23" s="28" t="inlineStr"/>
      <c r="I23" s="30" t="inlineStr">
        <is>
          <t>Build at least one</t>
        </is>
      </c>
    </row>
    <row r="24">
      <c r="A24" s="26" t="inlineStr">
        <is>
          <t>TIER 3: AGENT BUILDING (Weeks 11-16)</t>
        </is>
      </c>
      <c r="B24" s="27" t="inlineStr">
        <is>
          <t>Agent Skills: reusable token-efficient modules</t>
        </is>
      </c>
      <c r="C24" s="28" t="inlineStr">
        <is>
          <t>📌 To Do</t>
        </is>
      </c>
      <c r="D24" s="29" t="inlineStr">
        <is>
          <t>High</t>
        </is>
      </c>
      <c r="E24" s="28" t="inlineStr">
        <is>
          <t>Medium</t>
        </is>
      </c>
      <c r="F24" s="28" t="n">
        <v>8</v>
      </c>
      <c r="G24" s="28" t="inlineStr"/>
      <c r="H24" s="28" t="inlineStr"/>
      <c r="I24" s="30" t="inlineStr">
        <is>
          <t>Save tokens, reuse logic</t>
        </is>
      </c>
    </row>
    <row r="25">
      <c r="A25" s="26" t="inlineStr">
        <is>
          <t>TIER 3: AGENT BUILDING (Weeks 11-16)</t>
        </is>
      </c>
      <c r="B25" s="27" t="inlineStr">
        <is>
          <t>Subagents: fan-out / fan-in patterns</t>
        </is>
      </c>
      <c r="C25" s="28" t="inlineStr">
        <is>
          <t>📌 To Do</t>
        </is>
      </c>
      <c r="D25" s="29" t="inlineStr">
        <is>
          <t>High</t>
        </is>
      </c>
      <c r="E25" s="28" t="inlineStr">
        <is>
          <t>Hard</t>
        </is>
      </c>
      <c r="F25" s="28" t="n">
        <v>12</v>
      </c>
      <c r="G25" s="28" t="inlineStr"/>
      <c r="H25" s="28" t="inlineStr"/>
      <c r="I25" s="30" t="inlineStr">
        <is>
          <t>Parallel task execution</t>
        </is>
      </c>
    </row>
    <row r="26">
      <c r="A26" s="26" t="inlineStr">
        <is>
          <t>TIER 3: AGENT BUILDING (Weeks 11-16)</t>
        </is>
      </c>
      <c r="B26" s="27" t="inlineStr">
        <is>
          <t>LangChain basics (know it, don't over-rely)</t>
        </is>
      </c>
      <c r="C26" s="28" t="inlineStr">
        <is>
          <t>📌 To Do</t>
        </is>
      </c>
      <c r="D26" s="29" t="inlineStr">
        <is>
          <t>High</t>
        </is>
      </c>
      <c r="E26" s="28" t="inlineStr">
        <is>
          <t>Medium</t>
        </is>
      </c>
      <c r="F26" s="28" t="n">
        <v>10</v>
      </c>
      <c r="G26" s="28" t="inlineStr"/>
      <c r="H26" s="28" t="inlineStr"/>
      <c r="I26" s="30" t="inlineStr">
        <is>
          <t>Framework awareness</t>
        </is>
      </c>
    </row>
    <row r="27">
      <c r="A27" s="26" t="inlineStr">
        <is>
          <t>TIER 3: AGENT BUILDING (Weeks 11-16)</t>
        </is>
      </c>
      <c r="B27" s="27" t="inlineStr">
        <is>
          <t>LangGraph: stateful multi-step workflows</t>
        </is>
      </c>
      <c r="C27" s="28" t="inlineStr">
        <is>
          <t>📌 To Do</t>
        </is>
      </c>
      <c r="D27" s="29" t="inlineStr">
        <is>
          <t>Must</t>
        </is>
      </c>
      <c r="E27" s="28" t="inlineStr">
        <is>
          <t>Hard</t>
        </is>
      </c>
      <c r="F27" s="28" t="n">
        <v>20</v>
      </c>
      <c r="G27" s="28" t="inlineStr"/>
      <c r="H27" s="28" t="inlineStr"/>
      <c r="I27" s="30" t="inlineStr">
        <is>
          <t>Production agent orchestration</t>
        </is>
      </c>
    </row>
    <row r="28">
      <c r="A28" s="26" t="inlineStr">
        <is>
          <t>TIER 3: AGENT BUILDING (Weeks 11-16)</t>
        </is>
      </c>
      <c r="B28" s="27" t="inlineStr">
        <is>
          <t>LlamaIndex: RAG-focused framework</t>
        </is>
      </c>
      <c r="C28" s="28" t="inlineStr">
        <is>
          <t>📌 To Do</t>
        </is>
      </c>
      <c r="D28" s="29" t="inlineStr">
        <is>
          <t>Medium</t>
        </is>
      </c>
      <c r="E28" s="28" t="inlineStr">
        <is>
          <t>Medium</t>
        </is>
      </c>
      <c r="F28" s="28" t="n">
        <v>10</v>
      </c>
      <c r="G28" s="28" t="inlineStr"/>
      <c r="H28" s="28" t="inlineStr"/>
      <c r="I28" s="30" t="inlineStr">
        <is>
          <t>Document-heavy use cases</t>
        </is>
      </c>
    </row>
    <row r="29">
      <c r="A29" s="26" t="inlineStr">
        <is>
          <t>TIER 3: AGENT BUILDING (Weeks 11-16)</t>
        </is>
      </c>
      <c r="B29" s="27" t="inlineStr">
        <is>
          <t>ReAct pattern (Reason + Act)</t>
        </is>
      </c>
      <c r="C29" s="28" t="inlineStr">
        <is>
          <t>📌 To Do</t>
        </is>
      </c>
      <c r="D29" s="29" t="inlineStr">
        <is>
          <t>Must</t>
        </is>
      </c>
      <c r="E29" s="28" t="inlineStr">
        <is>
          <t>Medium</t>
        </is>
      </c>
      <c r="F29" s="28" t="n">
        <v>8</v>
      </c>
      <c r="G29" s="28" t="inlineStr"/>
      <c r="H29" s="28" t="inlineStr"/>
      <c r="I29" s="30" t="inlineStr">
        <is>
          <t>Foundation for agents</t>
        </is>
      </c>
    </row>
    <row r="30">
      <c r="A30" s="26" t="inlineStr">
        <is>
          <t>TIER 3: AGENT BUILDING (Weeks 11-16)</t>
        </is>
      </c>
      <c r="B30" s="27" t="inlineStr">
        <is>
          <t>Agent decision loops</t>
        </is>
      </c>
      <c r="C30" s="28" t="inlineStr">
        <is>
          <t>📌 To Do</t>
        </is>
      </c>
      <c r="D30" s="29" t="inlineStr">
        <is>
          <t>Must</t>
        </is>
      </c>
      <c r="E30" s="28" t="inlineStr">
        <is>
          <t>Medium</t>
        </is>
      </c>
      <c r="F30" s="28" t="n">
        <v>10</v>
      </c>
      <c r="G30" s="28" t="inlineStr"/>
      <c r="H30" s="28" t="inlineStr"/>
      <c r="I30" s="30" t="inlineStr">
        <is>
          <t>Not chains — loops</t>
        </is>
      </c>
    </row>
    <row r="31">
      <c r="A31" s="31" t="inlineStr">
        <is>
          <t>AGENT MEMORY SYSTEMS</t>
        </is>
      </c>
      <c r="B31" s="32" t="inlineStr">
        <is>
          <t>Short-Term Memory: session context, buffer</t>
        </is>
      </c>
      <c r="C31" s="33" t="inlineStr">
        <is>
          <t>📌 To Do</t>
        </is>
      </c>
      <c r="D31" s="34" t="inlineStr">
        <is>
          <t>Must</t>
        </is>
      </c>
      <c r="E31" s="33" t="inlineStr">
        <is>
          <t>Medium</t>
        </is>
      </c>
      <c r="F31" s="33" t="n">
        <v>8</v>
      </c>
      <c r="G31" s="33" t="inlineStr"/>
      <c r="H31" s="33" t="inlineStr"/>
      <c r="I31" s="35" t="inlineStr">
        <is>
          <t>Real-time context</t>
        </is>
      </c>
    </row>
    <row r="32">
      <c r="A32" s="31" t="inlineStr">
        <is>
          <t>AGENT MEMORY SYSTEMS</t>
        </is>
      </c>
      <c r="B32" s="32" t="inlineStr">
        <is>
          <t>Long-Term Memory: persistent knowledge + embeddings</t>
        </is>
      </c>
      <c r="C32" s="33" t="inlineStr">
        <is>
          <t>📌 To Do</t>
        </is>
      </c>
      <c r="D32" s="34" t="inlineStr">
        <is>
          <t>Must</t>
        </is>
      </c>
      <c r="E32" s="33" t="inlineStr">
        <is>
          <t>Hard</t>
        </is>
      </c>
      <c r="F32" s="33" t="n">
        <v>15</v>
      </c>
      <c r="G32" s="33" t="inlineStr"/>
      <c r="H32" s="33" t="inlineStr"/>
      <c r="I32" s="35" t="inlineStr">
        <is>
          <t>Across sessions</t>
        </is>
      </c>
    </row>
    <row r="33">
      <c r="A33" s="31" t="inlineStr">
        <is>
          <t>AGENT MEMORY SYSTEMS</t>
        </is>
      </c>
      <c r="B33" s="32" t="inlineStr">
        <is>
          <t>Episodic Memory: event-based learning</t>
        </is>
      </c>
      <c r="C33" s="33" t="inlineStr">
        <is>
          <t>📌 To Do</t>
        </is>
      </c>
      <c r="D33" s="34" t="inlineStr">
        <is>
          <t>High</t>
        </is>
      </c>
      <c r="E33" s="33" t="inlineStr">
        <is>
          <t>Hard</t>
        </is>
      </c>
      <c r="F33" s="33" t="n">
        <v>10</v>
      </c>
      <c r="G33" s="33" t="inlineStr"/>
      <c r="H33" s="33" t="inlineStr"/>
      <c r="I33" s="35" t="inlineStr">
        <is>
          <t>Learn from past interactions</t>
        </is>
      </c>
    </row>
    <row r="34">
      <c r="A34" s="31" t="inlineStr">
        <is>
          <t>AGENT MEMORY SYSTEMS</t>
        </is>
      </c>
      <c r="B34" s="32" t="inlineStr">
        <is>
          <t>Semantic Memory: factual knowledge, relationships</t>
        </is>
      </c>
      <c r="C34" s="33" t="inlineStr">
        <is>
          <t>📌 To Do</t>
        </is>
      </c>
      <c r="D34" s="34" t="inlineStr">
        <is>
          <t>High</t>
        </is>
      </c>
      <c r="E34" s="33" t="inlineStr">
        <is>
          <t>Medium</t>
        </is>
      </c>
      <c r="F34" s="33" t="n">
        <v>8</v>
      </c>
      <c r="G34" s="33" t="inlineStr"/>
      <c r="H34" s="33" t="inlineStr"/>
      <c r="I34" s="35" t="inlineStr">
        <is>
          <t>Concept storage</t>
        </is>
      </c>
    </row>
    <row r="35">
      <c r="A35" s="31" t="inlineStr">
        <is>
          <t>AGENT MEMORY SYSTEMS</t>
        </is>
      </c>
      <c r="B35" s="32" t="inlineStr">
        <is>
          <t>Procedural Memory: task execution workflows</t>
        </is>
      </c>
      <c r="C35" s="33" t="inlineStr">
        <is>
          <t>📌 To Do</t>
        </is>
      </c>
      <c r="D35" s="34" t="inlineStr">
        <is>
          <t>High</t>
        </is>
      </c>
      <c r="E35" s="33" t="inlineStr">
        <is>
          <t>Medium</t>
        </is>
      </c>
      <c r="F35" s="33" t="n">
        <v>8</v>
      </c>
      <c r="G35" s="33" t="inlineStr"/>
      <c r="H35" s="33" t="inlineStr"/>
      <c r="I35" s="35" t="inlineStr">
        <is>
          <t>Remember how to do things</t>
        </is>
      </c>
    </row>
    <row r="36">
      <c r="A36" s="31" t="inlineStr">
        <is>
          <t>AGENT MEMORY SYSTEMS</t>
        </is>
      </c>
      <c r="B36" s="32" t="inlineStr">
        <is>
          <t>Memory Controller: what to store/update/forget</t>
        </is>
      </c>
      <c r="C36" s="33" t="inlineStr">
        <is>
          <t>📌 To Do</t>
        </is>
      </c>
      <c r="D36" s="34" t="inlineStr">
        <is>
          <t>Must</t>
        </is>
      </c>
      <c r="E36" s="33" t="inlineStr">
        <is>
          <t>Hard</t>
        </is>
      </c>
      <c r="F36" s="33" t="n">
        <v>10</v>
      </c>
      <c r="G36" s="33" t="inlineStr"/>
      <c r="H36" s="33" t="inlineStr"/>
      <c r="I36" s="35" t="inlineStr">
        <is>
          <t>Governance layer</t>
        </is>
      </c>
    </row>
    <row r="37">
      <c r="A37" s="31" t="inlineStr">
        <is>
          <t>AGENT MEMORY SYSTEMS</t>
        </is>
      </c>
      <c r="B37" s="32" t="inlineStr">
        <is>
          <t>Redis for short-term cache</t>
        </is>
      </c>
      <c r="C37" s="33" t="inlineStr">
        <is>
          <t>📌 To Do</t>
        </is>
      </c>
      <c r="D37" s="34" t="inlineStr">
        <is>
          <t>High</t>
        </is>
      </c>
      <c r="E37" s="33" t="inlineStr">
        <is>
          <t>Easy</t>
        </is>
      </c>
      <c r="F37" s="33" t="n">
        <v>5</v>
      </c>
      <c r="G37" s="33" t="inlineStr"/>
      <c r="H37" s="33" t="inlineStr"/>
      <c r="I37" s="35" t="inlineStr">
        <is>
          <t>Industry standard</t>
        </is>
      </c>
    </row>
    <row r="38">
      <c r="A38" s="36" t="inlineStr">
        <is>
          <t>TIER 4: PRODUCTION &amp; SCALE (Weeks 17-24)</t>
        </is>
      </c>
      <c r="B38" s="37" t="inlineStr">
        <is>
          <t>Evaluation-First Development</t>
        </is>
      </c>
      <c r="C38" s="38" t="inlineStr">
        <is>
          <t>📌 To Do</t>
        </is>
      </c>
      <c r="D38" s="39" t="inlineStr">
        <is>
          <t>Must</t>
        </is>
      </c>
      <c r="E38" s="38" t="inlineStr">
        <is>
          <t>Medium</t>
        </is>
      </c>
      <c r="F38" s="38" t="n">
        <v>10</v>
      </c>
      <c r="G38" s="38" t="inlineStr"/>
      <c r="H38" s="38" t="inlineStr"/>
      <c r="I38" s="40" t="inlineStr">
        <is>
          <t>If you can't measure, you can't improve</t>
        </is>
      </c>
    </row>
    <row r="39">
      <c r="A39" s="36" t="inlineStr">
        <is>
          <t>TIER 4: PRODUCTION &amp; SCALE (Weeks 17-24)</t>
        </is>
      </c>
      <c r="B39" s="37" t="inlineStr">
        <is>
          <t>Golden datasets: curated test cases</t>
        </is>
      </c>
      <c r="C39" s="38" t="inlineStr">
        <is>
          <t>📌 To Do</t>
        </is>
      </c>
      <c r="D39" s="39" t="inlineStr">
        <is>
          <t>Must</t>
        </is>
      </c>
      <c r="E39" s="38" t="inlineStr">
        <is>
          <t>Medium</t>
        </is>
      </c>
      <c r="F39" s="38" t="n">
        <v>8</v>
      </c>
      <c r="G39" s="38" t="inlineStr"/>
      <c r="H39" s="38" t="inlineStr"/>
      <c r="I39" s="40" t="inlineStr">
        <is>
          <t>Regression baseline</t>
        </is>
      </c>
    </row>
    <row r="40">
      <c r="A40" s="36" t="inlineStr">
        <is>
          <t>TIER 4: PRODUCTION &amp; SCALE (Weeks 17-24)</t>
        </is>
      </c>
      <c r="B40" s="37" t="inlineStr">
        <is>
          <t>LLM-as-judge (with human verification)</t>
        </is>
      </c>
      <c r="C40" s="38" t="inlineStr">
        <is>
          <t>📌 To Do</t>
        </is>
      </c>
      <c r="D40" s="39" t="inlineStr">
        <is>
          <t>Must</t>
        </is>
      </c>
      <c r="E40" s="38" t="inlineStr">
        <is>
          <t>Medium</t>
        </is>
      </c>
      <c r="F40" s="38" t="n">
        <v>8</v>
      </c>
      <c r="G40" s="38" t="inlineStr"/>
      <c r="H40" s="38" t="inlineStr"/>
      <c r="I40" s="40" t="inlineStr">
        <is>
          <t>52% use, always verify</t>
        </is>
      </c>
    </row>
    <row r="41">
      <c r="A41" s="36" t="inlineStr">
        <is>
          <t>TIER 4: PRODUCTION &amp; SCALE (Weeks 17-24)</t>
        </is>
      </c>
      <c r="B41" s="37" t="inlineStr">
        <is>
          <t>Regression tests for agents</t>
        </is>
      </c>
      <c r="C41" s="38" t="inlineStr">
        <is>
          <t>📌 To Do</t>
        </is>
      </c>
      <c r="D41" s="39" t="inlineStr">
        <is>
          <t>High</t>
        </is>
      </c>
      <c r="E41" s="38" t="inlineStr">
        <is>
          <t>Medium</t>
        </is>
      </c>
      <c r="F41" s="38" t="n">
        <v>8</v>
      </c>
      <c r="G41" s="38" t="inlineStr"/>
      <c r="H41" s="38" t="inlineStr"/>
      <c r="I41" s="40" t="inlineStr">
        <is>
          <t>Prevent backsliding</t>
        </is>
      </c>
    </row>
    <row r="42">
      <c r="A42" s="36" t="inlineStr">
        <is>
          <t>TIER 4: PRODUCTION &amp; SCALE (Weeks 17-24)</t>
        </is>
      </c>
      <c r="B42" s="37" t="inlineStr">
        <is>
          <t>Ragas / Giskard / Trulens eval tools</t>
        </is>
      </c>
      <c r="C42" s="38" t="inlineStr">
        <is>
          <t>📌 To Do</t>
        </is>
      </c>
      <c r="D42" s="39" t="inlineStr">
        <is>
          <t>High</t>
        </is>
      </c>
      <c r="E42" s="38" t="inlineStr">
        <is>
          <t>Medium</t>
        </is>
      </c>
      <c r="F42" s="38" t="n">
        <v>10</v>
      </c>
      <c r="G42" s="38" t="inlineStr"/>
      <c r="H42" s="38" t="inlineStr"/>
      <c r="I42" s="40" t="inlineStr">
        <is>
          <t>Know at least one</t>
        </is>
      </c>
    </row>
    <row r="43">
      <c r="A43" s="36" t="inlineStr">
        <is>
          <t>TIER 4: PRODUCTION &amp; SCALE (Weeks 17-24)</t>
        </is>
      </c>
      <c r="B43" s="37" t="inlineStr">
        <is>
          <t>Human-in-the-loop evaluation</t>
        </is>
      </c>
      <c r="C43" s="38" t="inlineStr">
        <is>
          <t>📌 To Do</t>
        </is>
      </c>
      <c r="D43" s="39" t="inlineStr">
        <is>
          <t>Must</t>
        </is>
      </c>
      <c r="E43" s="38" t="inlineStr">
        <is>
          <t>Medium</t>
        </is>
      </c>
      <c r="F43" s="38" t="n">
        <v>8</v>
      </c>
      <c r="G43" s="38" t="inlineStr"/>
      <c r="H43" s="38" t="inlineStr"/>
      <c r="I43" s="40" t="inlineStr">
        <is>
          <t>74% of prod teams use this</t>
        </is>
      </c>
    </row>
    <row r="44">
      <c r="A44" s="36" t="inlineStr">
        <is>
          <t>TIER 4: PRODUCTION &amp; SCALE (Weeks 17-24)</t>
        </is>
      </c>
      <c r="B44" s="37" t="inlineStr">
        <is>
          <t>FastAPI: async, admission control</t>
        </is>
      </c>
      <c r="C44" s="38" t="inlineStr">
        <is>
          <t>📌 To Do</t>
        </is>
      </c>
      <c r="D44" s="39" t="inlineStr">
        <is>
          <t>Must</t>
        </is>
      </c>
      <c r="E44" s="38" t="inlineStr">
        <is>
          <t>Hard</t>
        </is>
      </c>
      <c r="F44" s="38" t="n">
        <v>15</v>
      </c>
      <c r="G44" s="38" t="inlineStr"/>
      <c r="H44" s="38" t="inlineStr"/>
      <c r="I44" s="40" t="inlineStr">
        <is>
          <t>Production AI APIs</t>
        </is>
      </c>
    </row>
    <row r="45">
      <c r="A45" s="36" t="inlineStr">
        <is>
          <t>TIER 4: PRODUCTION &amp; SCALE (Weeks 17-24)</t>
        </is>
      </c>
      <c r="B45" s="37" t="inlineStr">
        <is>
          <t>Docker: containerization</t>
        </is>
      </c>
      <c r="C45" s="38" t="inlineStr">
        <is>
          <t>📌 To Do</t>
        </is>
      </c>
      <c r="D45" s="39" t="inlineStr">
        <is>
          <t>Must</t>
        </is>
      </c>
      <c r="E45" s="38" t="inlineStr">
        <is>
          <t>Medium</t>
        </is>
      </c>
      <c r="F45" s="38" t="n">
        <v>10</v>
      </c>
      <c r="G45" s="38" t="inlineStr"/>
      <c r="H45" s="38" t="inlineStr"/>
      <c r="I45" s="40" t="inlineStr">
        <is>
          <t>Package your agent</t>
        </is>
      </c>
    </row>
    <row r="46">
      <c r="A46" s="36" t="inlineStr">
        <is>
          <t>TIER 4: PRODUCTION &amp; SCALE (Weeks 17-24)</t>
        </is>
      </c>
      <c r="B46" s="37" t="inlineStr">
        <is>
          <t>Kubernetes: orchestration</t>
        </is>
      </c>
      <c r="C46" s="38" t="inlineStr">
        <is>
          <t>📌 To Do</t>
        </is>
      </c>
      <c r="D46" s="39" t="inlineStr">
        <is>
          <t>High</t>
        </is>
      </c>
      <c r="E46" s="38" t="inlineStr">
        <is>
          <t>Hard</t>
        </is>
      </c>
      <c r="F46" s="38" t="n">
        <v>15</v>
      </c>
      <c r="G46" s="38" t="inlineStr"/>
      <c r="H46" s="38" t="inlineStr"/>
      <c r="I46" s="40" t="inlineStr">
        <is>
          <t>Scale deployments</t>
        </is>
      </c>
    </row>
    <row r="47">
      <c r="A47" s="36" t="inlineStr">
        <is>
          <t>TIER 4: PRODUCTION &amp; SCALE (Weeks 17-24)</t>
        </is>
      </c>
      <c r="B47" s="37" t="inlineStr">
        <is>
          <t>CI/CD pipelines for AI</t>
        </is>
      </c>
      <c r="C47" s="38" t="inlineStr">
        <is>
          <t>📌 To Do</t>
        </is>
      </c>
      <c r="D47" s="39" t="inlineStr">
        <is>
          <t>High</t>
        </is>
      </c>
      <c r="E47" s="38" t="inlineStr">
        <is>
          <t>Medium</t>
        </is>
      </c>
      <c r="F47" s="38" t="n">
        <v>10</v>
      </c>
      <c r="G47" s="38" t="inlineStr"/>
      <c r="H47" s="38" t="inlineStr"/>
      <c r="I47" s="40" t="inlineStr">
        <is>
          <t>Automated deployment</t>
        </is>
      </c>
    </row>
    <row r="48">
      <c r="A48" s="36" t="inlineStr">
        <is>
          <t>TIER 4: PRODUCTION &amp; SCALE (Weeks 17-24)</t>
        </is>
      </c>
      <c r="B48" s="37" t="inlineStr">
        <is>
          <t>MLflow: experiment tracking</t>
        </is>
      </c>
      <c r="C48" s="38" t="inlineStr">
        <is>
          <t>📌 To Do</t>
        </is>
      </c>
      <c r="D48" s="39" t="inlineStr">
        <is>
          <t>Medium</t>
        </is>
      </c>
      <c r="E48" s="38" t="inlineStr">
        <is>
          <t>Medium</t>
        </is>
      </c>
      <c r="F48" s="38" t="n">
        <v>8</v>
      </c>
      <c r="G48" s="38" t="inlineStr"/>
      <c r="H48" s="38" t="inlineStr"/>
      <c r="I48" s="40" t="inlineStr">
        <is>
          <t>Track what you try</t>
        </is>
      </c>
    </row>
    <row r="49">
      <c r="A49" s="36" t="inlineStr">
        <is>
          <t>TIER 4: PRODUCTION &amp; SCALE (Weeks 17-24)</t>
        </is>
      </c>
      <c r="B49" s="37" t="inlineStr">
        <is>
          <t>Observability: logging + tracing + metrics</t>
        </is>
      </c>
      <c r="C49" s="38" t="inlineStr">
        <is>
          <t>📌 To Do</t>
        </is>
      </c>
      <c r="D49" s="39" t="inlineStr">
        <is>
          <t>Must</t>
        </is>
      </c>
      <c r="E49" s="38" t="inlineStr">
        <is>
          <t>Medium</t>
        </is>
      </c>
      <c r="F49" s="38" t="n">
        <v>10</v>
      </c>
      <c r="G49" s="38" t="inlineStr"/>
      <c r="H49" s="38" t="inlineStr"/>
      <c r="I49" s="40" t="inlineStr">
        <is>
          <t>See inside your agent</t>
        </is>
      </c>
    </row>
    <row r="50">
      <c r="A50" s="36" t="inlineStr">
        <is>
          <t>TIER 4: PRODUCTION &amp; SCALE (Weeks 17-24)</t>
        </is>
      </c>
      <c r="B50" s="37" t="inlineStr">
        <is>
          <t>Langfuse / Datadog monitoring</t>
        </is>
      </c>
      <c r="C50" s="38" t="inlineStr">
        <is>
          <t>📌 To Do</t>
        </is>
      </c>
      <c r="D50" s="39" t="inlineStr">
        <is>
          <t>High</t>
        </is>
      </c>
      <c r="E50" s="38" t="inlineStr">
        <is>
          <t>Medium</t>
        </is>
      </c>
      <c r="F50" s="38" t="n">
        <v>8</v>
      </c>
      <c r="G50" s="38" t="inlineStr"/>
      <c r="H50" s="38" t="inlineStr"/>
      <c r="I50" s="40" t="inlineStr">
        <is>
          <t>LLM-specific observability</t>
        </is>
      </c>
    </row>
    <row r="51">
      <c r="A51" s="41" t="inlineStr">
        <is>
          <t>CLOUD PLATFORMS (Pick ONE first)</t>
        </is>
      </c>
      <c r="B51" s="42" t="inlineStr">
        <is>
          <t>AWS: SageMaker + Bedrock</t>
        </is>
      </c>
      <c r="C51" s="43" t="inlineStr">
        <is>
          <t>📌 To Do</t>
        </is>
      </c>
      <c r="D51" s="44" t="inlineStr">
        <is>
          <t>Must</t>
        </is>
      </c>
      <c r="E51" s="43" t="inlineStr">
        <is>
          <t>Medium</t>
        </is>
      </c>
      <c r="F51" s="43" t="n">
        <v>20</v>
      </c>
      <c r="G51" s="43" t="inlineStr"/>
      <c r="H51" s="43" t="inlineStr"/>
      <c r="I51" s="45" t="inlineStr">
        <is>
          <t>START HERE — most demanded</t>
        </is>
      </c>
    </row>
    <row r="52">
      <c r="A52" s="41" t="inlineStr">
        <is>
          <t>CLOUD PLATFORMS (Pick ONE first)</t>
        </is>
      </c>
      <c r="B52" s="42" t="inlineStr">
        <is>
          <t>Azure ML</t>
        </is>
      </c>
      <c r="C52" s="43" t="inlineStr">
        <is>
          <t>📌 To Do</t>
        </is>
      </c>
      <c r="D52" s="44" t="inlineStr">
        <is>
          <t>Medium</t>
        </is>
      </c>
      <c r="E52" s="43" t="inlineStr">
        <is>
          <t>Medium</t>
        </is>
      </c>
      <c r="F52" s="43" t="n">
        <v>15</v>
      </c>
      <c r="G52" s="43" t="inlineStr"/>
      <c r="H52" s="43" t="inlineStr"/>
      <c r="I52" s="45" t="inlineStr">
        <is>
          <t>Enterprise environments</t>
        </is>
      </c>
    </row>
    <row r="53">
      <c r="A53" s="41" t="inlineStr">
        <is>
          <t>CLOUD PLATFORMS (Pick ONE first)</t>
        </is>
      </c>
      <c r="B53" s="42" t="inlineStr">
        <is>
          <t>GCP: Vertex AI</t>
        </is>
      </c>
      <c r="C53" s="43" t="inlineStr">
        <is>
          <t>📌 To Do</t>
        </is>
      </c>
      <c r="D53" s="44" t="inlineStr">
        <is>
          <t>Medium</t>
        </is>
      </c>
      <c r="E53" s="43" t="inlineStr">
        <is>
          <t>Medium</t>
        </is>
      </c>
      <c r="F53" s="43" t="n">
        <v>15</v>
      </c>
      <c r="G53" s="43" t="inlineStr"/>
      <c r="H53" s="43" t="inlineStr"/>
      <c r="I53" s="45" t="inlineStr">
        <is>
          <t>Google ecosystem</t>
        </is>
      </c>
    </row>
    <row r="54">
      <c r="A54" s="41" t="inlineStr">
        <is>
          <t>CLOUD PLATFORMS (Pick ONE first)</t>
        </is>
      </c>
      <c r="B54" s="42" t="inlineStr">
        <is>
          <t>Claude on Bedrock (AWS)</t>
        </is>
      </c>
      <c r="C54" s="43" t="inlineStr">
        <is>
          <t>📌 To Do</t>
        </is>
      </c>
      <c r="D54" s="44" t="inlineStr">
        <is>
          <t>High</t>
        </is>
      </c>
      <c r="E54" s="43" t="inlineStr">
        <is>
          <t>Easy</t>
        </is>
      </c>
      <c r="F54" s="43" t="n">
        <v>5</v>
      </c>
      <c r="G54" s="43" t="inlineStr"/>
      <c r="H54" s="43" t="inlineStr"/>
      <c r="I54" s="45" t="inlineStr">
        <is>
          <t>Enterprise Claude deployment</t>
        </is>
      </c>
    </row>
    <row r="55">
      <c r="A55" s="41" t="inlineStr">
        <is>
          <t>CLOUD PLATFORMS (Pick ONE first)</t>
        </is>
      </c>
      <c r="B55" s="42" t="inlineStr">
        <is>
          <t>Claude on Vertex AI (GCP)</t>
        </is>
      </c>
      <c r="C55" s="43" t="inlineStr">
        <is>
          <t>📌 To Do</t>
        </is>
      </c>
      <c r="D55" s="44" t="inlineStr">
        <is>
          <t>Medium</t>
        </is>
      </c>
      <c r="E55" s="43" t="inlineStr">
        <is>
          <t>Easy</t>
        </is>
      </c>
      <c r="F55" s="43" t="n">
        <v>5</v>
      </c>
      <c r="G55" s="43" t="inlineStr"/>
      <c r="H55" s="43" t="inlineStr"/>
      <c r="I55" s="45" t="inlineStr">
        <is>
          <t>GCP Claude deployment</t>
        </is>
      </c>
    </row>
    <row r="56">
      <c r="A56" s="31" t="inlineStr">
        <is>
          <t>AGENT COMMUNICATION PROTOCOLS</t>
        </is>
      </c>
      <c r="B56" s="32" t="inlineStr">
        <is>
          <t>MCP (Model Context Protocol)</t>
        </is>
      </c>
      <c r="C56" s="33" t="inlineStr">
        <is>
          <t>📌 To Do</t>
        </is>
      </c>
      <c r="D56" s="34" t="inlineStr">
        <is>
          <t>Must</t>
        </is>
      </c>
      <c r="E56" s="33" t="inlineStr">
        <is>
          <t>Medium</t>
        </is>
      </c>
      <c r="F56" s="33" t="n">
        <v>15</v>
      </c>
      <c r="G56" s="33" t="inlineStr"/>
      <c r="H56" s="33" t="inlineStr"/>
      <c r="I56" s="35" t="inlineStr">
        <is>
          <t>Tool integration standard</t>
        </is>
      </c>
    </row>
    <row r="57">
      <c r="A57" s="31" t="inlineStr">
        <is>
          <t>AGENT COMMUNICATION PROTOCOLS</t>
        </is>
      </c>
      <c r="B57" s="32" t="inlineStr">
        <is>
          <t>A2A (Agent-to-Agent)</t>
        </is>
      </c>
      <c r="C57" s="33" t="inlineStr">
        <is>
          <t>📌 To Do</t>
        </is>
      </c>
      <c r="D57" s="34" t="inlineStr">
        <is>
          <t>Medium</t>
        </is>
      </c>
      <c r="E57" s="33" t="inlineStr">
        <is>
          <t>Medium</t>
        </is>
      </c>
      <c r="F57" s="33" t="n">
        <v>8</v>
      </c>
      <c r="G57" s="33" t="inlineStr"/>
      <c r="H57" s="33" t="inlineStr"/>
      <c r="I57" s="35" t="inlineStr">
        <is>
          <t>Peer negotiation</t>
        </is>
      </c>
    </row>
    <row r="58">
      <c r="A58" s="31" t="inlineStr">
        <is>
          <t>AGENT COMMUNICATION PROTOCOLS</t>
        </is>
      </c>
      <c r="B58" s="32" t="inlineStr">
        <is>
          <t>ANP (Agent Network Protocol)</t>
        </is>
      </c>
      <c r="C58" s="33" t="inlineStr">
        <is>
          <t>📌 To Do</t>
        </is>
      </c>
      <c r="D58" s="34" t="inlineStr">
        <is>
          <t>Low</t>
        </is>
      </c>
      <c r="E58" s="33" t="inlineStr">
        <is>
          <t>Hard</t>
        </is>
      </c>
      <c r="F58" s="33" t="n">
        <v>6</v>
      </c>
      <c r="G58" s="33" t="inlineStr"/>
      <c r="H58" s="33" t="inlineStr"/>
      <c r="I58" s="35" t="inlineStr">
        <is>
          <t>Decentralized networks</t>
        </is>
      </c>
    </row>
    <row r="59">
      <c r="A59" s="31" t="inlineStr">
        <is>
          <t>AGENT COMMUNICATION PROTOCOLS</t>
        </is>
      </c>
      <c r="B59" s="32" t="inlineStr">
        <is>
          <t>ACP (Agent Communication Protocol)</t>
        </is>
      </c>
      <c r="C59" s="33" t="inlineStr">
        <is>
          <t>📌 To Do</t>
        </is>
      </c>
      <c r="D59" s="34" t="inlineStr">
        <is>
          <t>Low</t>
        </is>
      </c>
      <c r="E59" s="33" t="inlineStr">
        <is>
          <t>Medium</t>
        </is>
      </c>
      <c r="F59" s="33" t="n">
        <v>6</v>
      </c>
      <c r="G59" s="33" t="inlineStr"/>
      <c r="H59" s="33" t="inlineStr"/>
      <c r="I59" s="35" t="inlineStr">
        <is>
          <t>Enterprise workflows</t>
        </is>
      </c>
    </row>
    <row r="60">
      <c r="A60" s="46" t="inlineStr">
        <is>
          <t>TIER 5: ADVANCED (Weeks 25+)</t>
        </is>
      </c>
      <c r="B60" s="47" t="inlineStr">
        <is>
          <t>Multi-Agent Systems architecture</t>
        </is>
      </c>
      <c r="C60" s="48" t="inlineStr">
        <is>
          <t>📌 To Do</t>
        </is>
      </c>
      <c r="D60" s="49" t="inlineStr">
        <is>
          <t>High</t>
        </is>
      </c>
      <c r="E60" s="48" t="inlineStr">
        <is>
          <t>Hard</t>
        </is>
      </c>
      <c r="F60" s="48" t="n">
        <v>20</v>
      </c>
      <c r="G60" s="48" t="inlineStr"/>
      <c r="H60" s="48" t="inlineStr"/>
      <c r="I60" s="50" t="inlineStr">
        <is>
          <t>Orchestration patterns</t>
        </is>
      </c>
    </row>
    <row r="61">
      <c r="A61" s="46" t="inlineStr">
        <is>
          <t>TIER 5: ADVANCED (Weeks 25+)</t>
        </is>
      </c>
      <c r="B61" s="47" t="inlineStr">
        <is>
          <t>Fan-out / Fan-in orchestration</t>
        </is>
      </c>
      <c r="C61" s="48" t="inlineStr">
        <is>
          <t>📌 To Do</t>
        </is>
      </c>
      <c r="D61" s="49" t="inlineStr">
        <is>
          <t>High</t>
        </is>
      </c>
      <c r="E61" s="48" t="inlineStr">
        <is>
          <t>Hard</t>
        </is>
      </c>
      <c r="F61" s="48" t="n">
        <v>10</v>
      </c>
      <c r="G61" s="48" t="inlineStr"/>
      <c r="H61" s="48" t="inlineStr"/>
      <c r="I61" s="50" t="inlineStr">
        <is>
          <t>Parallel agent patterns</t>
        </is>
      </c>
    </row>
    <row r="62">
      <c r="A62" s="46" t="inlineStr">
        <is>
          <t>TIER 5: ADVANCED (Weeks 25+)</t>
        </is>
      </c>
      <c r="B62" s="47" t="inlineStr">
        <is>
          <t>Fine-tuning fundamentals</t>
        </is>
      </c>
      <c r="C62" s="48" t="inlineStr">
        <is>
          <t>📌 To Do</t>
        </is>
      </c>
      <c r="D62" s="49" t="inlineStr">
        <is>
          <t>Medium</t>
        </is>
      </c>
      <c r="E62" s="48" t="inlineStr">
        <is>
          <t>Hard</t>
        </is>
      </c>
      <c r="F62" s="48" t="n">
        <v>15</v>
      </c>
      <c r="G62" s="48" t="inlineStr"/>
      <c r="H62" s="48" t="inlineStr"/>
      <c r="I62" s="50" t="inlineStr">
        <is>
          <t>Only when prompting isn't enough</t>
        </is>
      </c>
    </row>
    <row r="63">
      <c r="A63" s="46" t="inlineStr">
        <is>
          <t>TIER 5: ADVANCED (Weeks 25+)</t>
        </is>
      </c>
      <c r="B63" s="47" t="inlineStr">
        <is>
          <t>LoRA / QLoRA efficient fine-tuning</t>
        </is>
      </c>
      <c r="C63" s="48" t="inlineStr">
        <is>
          <t>📌 To Do</t>
        </is>
      </c>
      <c r="D63" s="49" t="inlineStr">
        <is>
          <t>Medium</t>
        </is>
      </c>
      <c r="E63" s="48" t="inlineStr">
        <is>
          <t>Hard</t>
        </is>
      </c>
      <c r="F63" s="48" t="n">
        <v>12</v>
      </c>
      <c r="G63" s="48" t="inlineStr"/>
      <c r="H63" s="48" t="inlineStr"/>
      <c r="I63" s="50" t="inlineStr">
        <is>
          <t>Cost-effective fine-tuning</t>
        </is>
      </c>
    </row>
    <row r="64">
      <c r="A64" s="46" t="inlineStr">
        <is>
          <t>TIER 5: ADVANCED (Weeks 25+)</t>
        </is>
      </c>
      <c r="B64" s="47" t="inlineStr">
        <is>
          <t>Small Language Models (SLMs): Gemma, Phi</t>
        </is>
      </c>
      <c r="C64" s="48" t="inlineStr">
        <is>
          <t>📌 To Do</t>
        </is>
      </c>
      <c r="D64" s="49" t="inlineStr">
        <is>
          <t>High</t>
        </is>
      </c>
      <c r="E64" s="48" t="inlineStr">
        <is>
          <t>Medium</t>
        </is>
      </c>
      <c r="F64" s="48" t="n">
        <v>8</v>
      </c>
      <c r="G64" s="48" t="inlineStr"/>
      <c r="H64" s="48" t="inlineStr"/>
      <c r="I64" s="50" t="inlineStr">
        <is>
          <t>Edge/cost use cases</t>
        </is>
      </c>
    </row>
    <row r="65">
      <c r="A65" s="46" t="inlineStr">
        <is>
          <t>TIER 5: ADVANCED (Weeks 25+)</t>
        </is>
      </c>
      <c r="B65" s="47" t="inlineStr">
        <is>
          <t>Model quantization / compression</t>
        </is>
      </c>
      <c r="C65" s="48" t="inlineStr">
        <is>
          <t>📌 To Do</t>
        </is>
      </c>
      <c r="D65" s="49" t="inlineStr">
        <is>
          <t>Medium</t>
        </is>
      </c>
      <c r="E65" s="48" t="inlineStr">
        <is>
          <t>Hard</t>
        </is>
      </c>
      <c r="F65" s="48" t="n">
        <v>10</v>
      </c>
      <c r="G65" s="48" t="inlineStr"/>
      <c r="H65" s="48" t="inlineStr"/>
      <c r="I65" s="50" t="inlineStr">
        <is>
          <t>Deploy smaller models</t>
        </is>
      </c>
    </row>
    <row r="66">
      <c r="A66" s="46" t="inlineStr">
        <is>
          <t>TIER 5: ADVANCED (Weeks 25+)</t>
        </is>
      </c>
      <c r="B66" s="47" t="inlineStr">
        <is>
          <t>Edge AI deployment</t>
        </is>
      </c>
      <c r="C66" s="48" t="inlineStr">
        <is>
          <t>📌 To Do</t>
        </is>
      </c>
      <c r="D66" s="49" t="inlineStr">
        <is>
          <t>Low</t>
        </is>
      </c>
      <c r="E66" s="48" t="inlineStr">
        <is>
          <t>Hard</t>
        </is>
      </c>
      <c r="F66" s="48" t="n">
        <v>10</v>
      </c>
      <c r="G66" s="48" t="inlineStr"/>
      <c r="H66" s="48" t="inlineStr"/>
      <c r="I66" s="50" t="inlineStr">
        <is>
          <t>On-device AI</t>
        </is>
      </c>
    </row>
    <row r="67">
      <c r="A67" s="46" t="inlineStr">
        <is>
          <t>TIER 5: ADVANCED (Weeks 25+)</t>
        </is>
      </c>
      <c r="B67" s="47" t="inlineStr">
        <is>
          <t>PyTorch fundamentals</t>
        </is>
      </c>
      <c r="C67" s="48" t="inlineStr">
        <is>
          <t>📌 To Do</t>
        </is>
      </c>
      <c r="D67" s="49" t="inlineStr">
        <is>
          <t>Medium</t>
        </is>
      </c>
      <c r="E67" s="48" t="inlineStr">
        <is>
          <t>Hard</t>
        </is>
      </c>
      <c r="F67" s="48" t="n">
        <v>20</v>
      </c>
      <c r="G67" s="48" t="inlineStr"/>
      <c r="H67" s="48" t="inlineStr"/>
      <c r="I67" s="50" t="inlineStr">
        <is>
          <t>Deep learning basics</t>
        </is>
      </c>
    </row>
    <row r="68">
      <c r="A68" s="46" t="inlineStr">
        <is>
          <t>TIER 5: ADVANCED (Weeks 25+)</t>
        </is>
      </c>
      <c r="B68" s="47" t="inlineStr">
        <is>
          <t>Neural network basics (ANN, CNN, RNN, LSTM)</t>
        </is>
      </c>
      <c r="C68" s="48" t="inlineStr">
        <is>
          <t>📌 To Do</t>
        </is>
      </c>
      <c r="D68" s="49" t="inlineStr">
        <is>
          <t>Medium</t>
        </is>
      </c>
      <c r="E68" s="48" t="inlineStr">
        <is>
          <t>Hard</t>
        </is>
      </c>
      <c r="F68" s="48" t="n">
        <v>15</v>
      </c>
      <c r="G68" s="48" t="inlineStr"/>
      <c r="H68" s="48" t="inlineStr"/>
      <c r="I68" s="50" t="inlineStr">
        <is>
          <t>Foundation knowledge</t>
        </is>
      </c>
    </row>
    <row r="69">
      <c r="A69" s="51" t="inlineStr">
        <is>
          <t>GOVERNANCE &amp; SECURITY (Often Skipped)</t>
        </is>
      </c>
      <c r="B69" s="52" t="inlineStr">
        <is>
          <t>Guardrails &amp; safety layers</t>
        </is>
      </c>
      <c r="C69" s="53" t="inlineStr">
        <is>
          <t>📌 To Do</t>
        </is>
      </c>
      <c r="D69" s="54" t="inlineStr">
        <is>
          <t>Must</t>
        </is>
      </c>
      <c r="E69" s="53" t="inlineStr">
        <is>
          <t>Medium</t>
        </is>
      </c>
      <c r="F69" s="53" t="n">
        <v>10</v>
      </c>
      <c r="G69" s="53" t="inlineStr"/>
      <c r="H69" s="53" t="inlineStr"/>
      <c r="I69" s="55" t="inlineStr">
        <is>
          <t>89% of teams skip this</t>
        </is>
      </c>
    </row>
    <row r="70">
      <c r="A70" s="51" t="inlineStr">
        <is>
          <t>GOVERNANCE &amp; SECURITY (Often Skipped)</t>
        </is>
      </c>
      <c r="B70" s="52" t="inlineStr">
        <is>
          <t>Observability &amp; tracing</t>
        </is>
      </c>
      <c r="C70" s="53" t="inlineStr">
        <is>
          <t>📌 To Do</t>
        </is>
      </c>
      <c r="D70" s="54" t="inlineStr">
        <is>
          <t>Must</t>
        </is>
      </c>
      <c r="E70" s="53" t="inlineStr">
        <is>
          <t>Medium</t>
        </is>
      </c>
      <c r="F70" s="53" t="n">
        <v>8</v>
      </c>
      <c r="G70" s="53" t="inlineStr"/>
      <c r="H70" s="53" t="inlineStr"/>
      <c r="I70" s="55" t="inlineStr">
        <is>
          <t>Production essential</t>
        </is>
      </c>
    </row>
    <row r="71">
      <c r="A71" s="51" t="inlineStr">
        <is>
          <t>GOVERNANCE &amp; SECURITY (Often Skipped)</t>
        </is>
      </c>
      <c r="B71" s="52" t="inlineStr">
        <is>
          <t>Audit trails</t>
        </is>
      </c>
      <c r="C71" s="53" t="inlineStr">
        <is>
          <t>📌 To Do</t>
        </is>
      </c>
      <c r="D71" s="54" t="inlineStr">
        <is>
          <t>High</t>
        </is>
      </c>
      <c r="E71" s="53" t="inlineStr">
        <is>
          <t>Medium</t>
        </is>
      </c>
      <c r="F71" s="53" t="n">
        <v>6</v>
      </c>
      <c r="G71" s="53" t="inlineStr"/>
      <c r="H71" s="53" t="inlineStr"/>
      <c r="I71" s="55" t="inlineStr">
        <is>
          <t>Enterprise requirement</t>
        </is>
      </c>
    </row>
    <row r="72">
      <c r="A72" s="51" t="inlineStr">
        <is>
          <t>GOVERNANCE &amp; SECURITY (Often Skipped)</t>
        </is>
      </c>
      <c r="B72" s="52" t="inlineStr">
        <is>
          <t>Rollback mechanisms</t>
        </is>
      </c>
      <c r="C72" s="53" t="inlineStr">
        <is>
          <t>📌 To Do</t>
        </is>
      </c>
      <c r="D72" s="54" t="inlineStr">
        <is>
          <t>High</t>
        </is>
      </c>
      <c r="E72" s="53" t="inlineStr">
        <is>
          <t>Medium</t>
        </is>
      </c>
      <c r="F72" s="53" t="n">
        <v>8</v>
      </c>
      <c r="G72" s="53" t="inlineStr"/>
      <c r="H72" s="53" t="inlineStr"/>
      <c r="I72" s="55" t="inlineStr">
        <is>
          <t>Fail safely</t>
        </is>
      </c>
    </row>
    <row r="73">
      <c r="A73" s="51" t="inlineStr">
        <is>
          <t>GOVERNANCE &amp; SECURITY (Often Skipped)</t>
        </is>
      </c>
      <c r="B73" s="52" t="inlineStr">
        <is>
          <t>Policy enforcement</t>
        </is>
      </c>
      <c r="C73" s="53" t="inlineStr">
        <is>
          <t>📌 To Do</t>
        </is>
      </c>
      <c r="D73" s="54" t="inlineStr">
        <is>
          <t>High</t>
        </is>
      </c>
      <c r="E73" s="53" t="inlineStr">
        <is>
          <t>Medium</t>
        </is>
      </c>
      <c r="F73" s="53" t="n">
        <v>8</v>
      </c>
      <c r="G73" s="53" t="inlineStr"/>
      <c r="H73" s="53" t="inlineStr"/>
      <c r="I73" s="55" t="inlineStr">
        <is>
          <t>Control agent behavior</t>
        </is>
      </c>
    </row>
    <row r="74">
      <c r="A74" s="51" t="inlineStr">
        <is>
          <t>GOVERNANCE &amp; SECURITY (Often Skipped)</t>
        </is>
      </c>
      <c r="B74" s="52" t="inlineStr">
        <is>
          <t>Read-only defaults (write earned)</t>
        </is>
      </c>
      <c r="C74" s="53" t="inlineStr">
        <is>
          <t>📌 To Do</t>
        </is>
      </c>
      <c r="D74" s="54" t="inlineStr">
        <is>
          <t>Must</t>
        </is>
      </c>
      <c r="E74" s="53" t="inlineStr">
        <is>
          <t>Easy</t>
        </is>
      </c>
      <c r="F74" s="53" t="n">
        <v>4</v>
      </c>
      <c r="G74" s="53" t="inlineStr"/>
      <c r="H74" s="53" t="inlineStr"/>
      <c r="I74" s="55" t="inlineStr">
        <is>
          <t>Reliability framework</t>
        </is>
      </c>
    </row>
    <row r="75">
      <c r="A75" s="51" t="inlineStr">
        <is>
          <t>GOVERNANCE &amp; SECURITY (Often Skipped)</t>
        </is>
      </c>
      <c r="B75" s="52" t="inlineStr">
        <is>
          <t>Sandbox environments</t>
        </is>
      </c>
      <c r="C75" s="53" t="inlineStr">
        <is>
          <t>📌 To Do</t>
        </is>
      </c>
      <c r="D75" s="54" t="inlineStr">
        <is>
          <t>High</t>
        </is>
      </c>
      <c r="E75" s="53" t="inlineStr">
        <is>
          <t>Medium</t>
        </is>
      </c>
      <c r="F75" s="53" t="n">
        <v>6</v>
      </c>
      <c r="G75" s="53" t="inlineStr"/>
      <c r="H75" s="53" t="inlineStr"/>
      <c r="I75" s="55" t="inlineStr">
        <is>
          <t>Test safely</t>
        </is>
      </c>
    </row>
    <row r="76">
      <c r="A76" s="51" t="inlineStr">
        <is>
          <t>GOVERNANCE &amp; SECURITY (Often Skipped)</t>
        </is>
      </c>
      <c r="B76" s="52" t="inlineStr">
        <is>
          <t>Human approval checkpoints</t>
        </is>
      </c>
      <c r="C76" s="53" t="inlineStr">
        <is>
          <t>📌 To Do</t>
        </is>
      </c>
      <c r="D76" s="54" t="inlineStr">
        <is>
          <t>Must</t>
        </is>
      </c>
      <c r="E76" s="53" t="inlineStr">
        <is>
          <t>Easy</t>
        </is>
      </c>
      <c r="F76" s="53" t="n">
        <v>4</v>
      </c>
      <c r="G76" s="53" t="inlineStr"/>
      <c r="H76" s="53" t="inlineStr"/>
      <c r="I76" s="55" t="inlineStr">
        <is>
          <t>Reduce autonomy for reliability</t>
        </is>
      </c>
    </row>
    <row r="77">
      <c r="A77" s="56" t="inlineStr">
        <is>
          <t>DATA ENGINEERING FOR AI</t>
        </is>
      </c>
      <c r="B77" s="57" t="inlineStr">
        <is>
          <t>AI-native pipelines (embeddings/vectors)</t>
        </is>
      </c>
      <c r="C77" s="58" t="inlineStr">
        <is>
          <t>📌 To Do</t>
        </is>
      </c>
      <c r="D77" s="59" t="inlineStr">
        <is>
          <t>High</t>
        </is>
      </c>
      <c r="E77" s="58" t="inlineStr">
        <is>
          <t>Medium</t>
        </is>
      </c>
      <c r="F77" s="58" t="n">
        <v>12</v>
      </c>
      <c r="G77" s="58" t="inlineStr"/>
      <c r="H77" s="58" t="inlineStr"/>
      <c r="I77" s="60" t="inlineStr">
        <is>
          <t>Beyond analytics pipelines</t>
        </is>
      </c>
    </row>
    <row r="78">
      <c r="A78" s="56" t="inlineStr">
        <is>
          <t>DATA ENGINEERING FOR AI</t>
        </is>
      </c>
      <c r="B78" s="57" t="inlineStr">
        <is>
          <t>Data quality as first-class layer</t>
        </is>
      </c>
      <c r="C78" s="58" t="inlineStr">
        <is>
          <t>📌 To Do</t>
        </is>
      </c>
      <c r="D78" s="59" t="inlineStr">
        <is>
          <t>High</t>
        </is>
      </c>
      <c r="E78" s="58" t="inlineStr">
        <is>
          <t>Medium</t>
        </is>
      </c>
      <c r="F78" s="58" t="n">
        <v>10</v>
      </c>
      <c r="G78" s="58" t="inlineStr"/>
      <c r="H78" s="58" t="inlineStr"/>
      <c r="I78" s="60" t="inlineStr">
        <is>
          <t>Garbage in, garbage out</t>
        </is>
      </c>
    </row>
    <row r="79">
      <c r="A79" s="56" t="inlineStr">
        <is>
          <t>DATA ENGINEERING FOR AI</t>
        </is>
      </c>
      <c r="B79" s="57" t="inlineStr">
        <is>
          <t>Data contracts across teams</t>
        </is>
      </c>
      <c r="C79" s="58" t="inlineStr">
        <is>
          <t>📌 To Do</t>
        </is>
      </c>
      <c r="D79" s="59" t="inlineStr">
        <is>
          <t>Medium</t>
        </is>
      </c>
      <c r="E79" s="58" t="inlineStr">
        <is>
          <t>Medium</t>
        </is>
      </c>
      <c r="F79" s="58" t="n">
        <v>8</v>
      </c>
      <c r="G79" s="58" t="inlineStr"/>
      <c r="H79" s="58" t="inlineStr"/>
      <c r="I79" s="60" t="inlineStr">
        <is>
          <t>Prevent schema drift</t>
        </is>
      </c>
    </row>
    <row r="80">
      <c r="A80" s="56" t="inlineStr">
        <is>
          <t>DATA ENGINEERING FOR AI</t>
        </is>
      </c>
      <c r="B80" s="57" t="inlineStr">
        <is>
          <t>Streaming-first architecture</t>
        </is>
      </c>
      <c r="C80" s="58" t="inlineStr">
        <is>
          <t>📌 To Do</t>
        </is>
      </c>
      <c r="D80" s="59" t="inlineStr">
        <is>
          <t>Medium</t>
        </is>
      </c>
      <c r="E80" s="58" t="inlineStr">
        <is>
          <t>Hard</t>
        </is>
      </c>
      <c r="F80" s="58" t="n">
        <v>12</v>
      </c>
      <c r="G80" s="58" t="inlineStr"/>
      <c r="H80" s="58" t="inlineStr"/>
      <c r="I80" s="60" t="inlineStr">
        <is>
          <t>Real-time is baseline</t>
        </is>
      </c>
    </row>
    <row r="81">
      <c r="A81" s="56" t="inlineStr">
        <is>
          <t>DATA ENGINEERING FOR AI</t>
        </is>
      </c>
      <c r="B81" s="57" t="inlineStr">
        <is>
          <t>Event-driven pipelines</t>
        </is>
      </c>
      <c r="C81" s="58" t="inlineStr">
        <is>
          <t>📌 To Do</t>
        </is>
      </c>
      <c r="D81" s="59" t="inlineStr">
        <is>
          <t>Medium</t>
        </is>
      </c>
      <c r="E81" s="58" t="inlineStr">
        <is>
          <t>Hard</t>
        </is>
      </c>
      <c r="F81" s="58" t="n">
        <v>10</v>
      </c>
      <c r="G81" s="58" t="inlineStr"/>
      <c r="H81" s="58" t="inlineStr"/>
      <c r="I81" s="60" t="inlineStr">
        <is>
          <t>AI triggered by events</t>
        </is>
      </c>
    </row>
    <row r="82">
      <c r="A82" s="61" t="inlineStr">
        <is>
          <t>DEVELOPMENT TOOLS (You Already Have)</t>
        </is>
      </c>
      <c r="B82" s="62" t="inlineStr">
        <is>
          <t>Claude Code — coding agent</t>
        </is>
      </c>
      <c r="C82" s="63" t="inlineStr">
        <is>
          <t>📌 To Do</t>
        </is>
      </c>
      <c r="D82" s="64" t="inlineStr">
        <is>
          <t>Must</t>
        </is>
      </c>
      <c r="E82" s="63" t="inlineStr">
        <is>
          <t>Easy</t>
        </is>
      </c>
      <c r="F82" s="63" t="n">
        <v>5</v>
      </c>
      <c r="G82" s="63" t="inlineStr"/>
      <c r="H82" s="63" t="inlineStr"/>
      <c r="I82" s="65" t="inlineStr">
        <is>
          <t>You have license!</t>
        </is>
      </c>
    </row>
    <row r="83">
      <c r="A83" s="61" t="inlineStr">
        <is>
          <t>DEVELOPMENT TOOLS (You Already Have)</t>
        </is>
      </c>
      <c r="B83" s="62" t="inlineStr">
        <is>
          <t>Windsurf IDE</t>
        </is>
      </c>
      <c r="C83" s="63" t="inlineStr">
        <is>
          <t>📌 To Do</t>
        </is>
      </c>
      <c r="D83" s="64" t="inlineStr">
        <is>
          <t>High</t>
        </is>
      </c>
      <c r="E83" s="63" t="inlineStr">
        <is>
          <t>Easy</t>
        </is>
      </c>
      <c r="F83" s="63" t="n">
        <v>4</v>
      </c>
      <c r="G83" s="63" t="inlineStr"/>
      <c r="H83" s="63" t="inlineStr"/>
      <c r="I83" s="65" t="inlineStr">
        <is>
          <t>You use this</t>
        </is>
      </c>
    </row>
    <row r="84">
      <c r="A84" s="61" t="inlineStr">
        <is>
          <t>DEVELOPMENT TOOLS (You Already Have)</t>
        </is>
      </c>
      <c r="B84" s="62" t="inlineStr">
        <is>
          <t>GitHub Copilot</t>
        </is>
      </c>
      <c r="C84" s="63" t="inlineStr">
        <is>
          <t>📌 To Do</t>
        </is>
      </c>
      <c r="D84" s="64" t="inlineStr">
        <is>
          <t>High</t>
        </is>
      </c>
      <c r="E84" s="63" t="inlineStr">
        <is>
          <t>Easy</t>
        </is>
      </c>
      <c r="F84" s="63" t="n">
        <v>4</v>
      </c>
      <c r="G84" s="63" t="inlineStr"/>
      <c r="H84" s="63" t="inlineStr"/>
      <c r="I84" s="65" t="inlineStr">
        <is>
          <t>You use this</t>
        </is>
      </c>
    </row>
    <row r="85">
      <c r="A85" s="61" t="inlineStr">
        <is>
          <t>DEVELOPMENT TOOLS (You Already Have)</t>
        </is>
      </c>
      <c r="B85" s="62" t="inlineStr">
        <is>
          <t>Cursor IDE (alternative)</t>
        </is>
      </c>
      <c r="C85" s="63" t="inlineStr">
        <is>
          <t>📌 To Do</t>
        </is>
      </c>
      <c r="D85" s="64" t="inlineStr">
        <is>
          <t>Medium</t>
        </is>
      </c>
      <c r="E85" s="63" t="inlineStr">
        <is>
          <t>Easy</t>
        </is>
      </c>
      <c r="F85" s="63" t="n">
        <v>4</v>
      </c>
      <c r="G85" s="63" t="inlineStr"/>
      <c r="H85" s="63" t="inlineStr"/>
      <c r="I85" s="65" t="inlineStr">
        <is>
          <t>AI-first coding</t>
        </is>
      </c>
    </row>
    <row r="86">
      <c r="A86" s="61" t="inlineStr">
        <is>
          <t>DEVELOPMENT TOOLS (You Already Have)</t>
        </is>
      </c>
      <c r="B86" s="62" t="inlineStr">
        <is>
          <t>Bolt.new for rapid prototyping</t>
        </is>
      </c>
      <c r="C86" s="63" t="inlineStr">
        <is>
          <t>📌 To Do</t>
        </is>
      </c>
      <c r="D86" s="64" t="inlineStr">
        <is>
          <t>Medium</t>
        </is>
      </c>
      <c r="E86" s="63" t="inlineStr">
        <is>
          <t>Easy</t>
        </is>
      </c>
      <c r="F86" s="63" t="n">
        <v>3</v>
      </c>
      <c r="G86" s="63" t="inlineStr"/>
      <c r="H86" s="63" t="inlineStr"/>
      <c r="I86" s="65" t="inlineStr">
        <is>
          <t>Quick web app demos</t>
        </is>
      </c>
    </row>
    <row r="87">
      <c r="A87" s="61" t="inlineStr">
        <is>
          <t>DEVELOPMENT TOOLS (You Already Have)</t>
        </is>
      </c>
      <c r="B87" s="62" t="inlineStr">
        <is>
          <t>Replit Agent for autonomous builds</t>
        </is>
      </c>
      <c r="C87" s="63" t="inlineStr">
        <is>
          <t>📌 To Do</t>
        </is>
      </c>
      <c r="D87" s="64" t="inlineStr">
        <is>
          <t>Medium</t>
        </is>
      </c>
      <c r="E87" s="63" t="inlineStr">
        <is>
          <t>Easy</t>
        </is>
      </c>
      <c r="F87" s="63" t="n">
        <v>3</v>
      </c>
      <c r="G87" s="63" t="inlineStr"/>
      <c r="H87" s="63" t="inlineStr"/>
      <c r="I87" s="65" t="inlineStr">
        <is>
          <t>Self-testing builds</t>
        </is>
      </c>
    </row>
    <row r="88">
      <c r="A88" s="66" t="inlineStr">
        <is>
          <t>LLM COST OPTIMIZATION</t>
        </is>
      </c>
      <c r="B88" s="67" t="inlineStr">
        <is>
          <t>Prompt compression techniques</t>
        </is>
      </c>
      <c r="C88" s="68" t="inlineStr">
        <is>
          <t>📌 To Do</t>
        </is>
      </c>
      <c r="D88" s="69" t="inlineStr">
        <is>
          <t>High</t>
        </is>
      </c>
      <c r="E88" s="68" t="inlineStr">
        <is>
          <t>Medium</t>
        </is>
      </c>
      <c r="F88" s="68" t="n">
        <v>6</v>
      </c>
      <c r="G88" s="68" t="inlineStr"/>
      <c r="H88" s="68" t="inlineStr"/>
      <c r="I88" s="70" t="inlineStr">
        <is>
          <t>Reduce token waste</t>
        </is>
      </c>
    </row>
    <row r="89">
      <c r="A89" s="66" t="inlineStr">
        <is>
          <t>LLM COST OPTIMIZATION</t>
        </is>
      </c>
      <c r="B89" s="67" t="inlineStr">
        <is>
          <t>Right-sizing models (not biggest)</t>
        </is>
      </c>
      <c r="C89" s="68" t="inlineStr">
        <is>
          <t>📌 To Do</t>
        </is>
      </c>
      <c r="D89" s="69" t="inlineStr">
        <is>
          <t>Must</t>
        </is>
      </c>
      <c r="E89" s="68" t="inlineStr">
        <is>
          <t>Easy</t>
        </is>
      </c>
      <c r="F89" s="68" t="n">
        <v>4</v>
      </c>
      <c r="G89" s="68" t="inlineStr"/>
      <c r="H89" s="68" t="inlineStr"/>
      <c r="I89" s="70" t="inlineStr">
        <is>
          <t>SLM vs LLM decisions</t>
        </is>
      </c>
    </row>
    <row r="90">
      <c r="A90" s="66" t="inlineStr">
        <is>
          <t>LLM COST OPTIMIZATION</t>
        </is>
      </c>
      <c r="B90" s="67" t="inlineStr">
        <is>
          <t>Smart RAG: chunk tuning + ranking</t>
        </is>
      </c>
      <c r="C90" s="68" t="inlineStr">
        <is>
          <t>📌 To Do</t>
        </is>
      </c>
      <c r="D90" s="69" t="inlineStr">
        <is>
          <t>High</t>
        </is>
      </c>
      <c r="E90" s="68" t="inlineStr">
        <is>
          <t>Medium</t>
        </is>
      </c>
      <c r="F90" s="68" t="n">
        <v>8</v>
      </c>
      <c r="G90" s="68" t="inlineStr"/>
      <c r="H90" s="68" t="inlineStr"/>
      <c r="I90" s="70" t="inlineStr">
        <is>
          <t>Retrieve less, better</t>
        </is>
      </c>
    </row>
    <row r="91">
      <c r="A91" s="66" t="inlineStr">
        <is>
          <t>LLM COST OPTIMIZATION</t>
        </is>
      </c>
      <c r="B91" s="67" t="inlineStr">
        <is>
          <t>Caching embeddings &amp; validated outputs</t>
        </is>
      </c>
      <c r="C91" s="68" t="inlineStr">
        <is>
          <t>📌 To Do</t>
        </is>
      </c>
      <c r="D91" s="69" t="inlineStr">
        <is>
          <t>High</t>
        </is>
      </c>
      <c r="E91" s="68" t="inlineStr">
        <is>
          <t>Medium</t>
        </is>
      </c>
      <c r="F91" s="68" t="n">
        <v>6</v>
      </c>
      <c r="G91" s="68" t="inlineStr"/>
      <c r="H91" s="68" t="inlineStr"/>
      <c r="I91" s="70" t="inlineStr">
        <is>
          <t>Don't recompute</t>
        </is>
      </c>
    </row>
    <row r="92">
      <c r="A92" s="66" t="inlineStr">
        <is>
          <t>LLM COST OPTIMIZATION</t>
        </is>
      </c>
      <c r="B92" s="67" t="inlineStr">
        <is>
          <t>Production profiling on real traffic</t>
        </is>
      </c>
      <c r="C92" s="68" t="inlineStr">
        <is>
          <t>📌 To Do</t>
        </is>
      </c>
      <c r="D92" s="69" t="inlineStr">
        <is>
          <t>High</t>
        </is>
      </c>
      <c r="E92" s="68" t="inlineStr">
        <is>
          <t>Medium</t>
        </is>
      </c>
      <c r="F92" s="68" t="n">
        <v>8</v>
      </c>
      <c r="G92" s="68" t="inlineStr"/>
      <c r="H92" s="68" t="inlineStr"/>
      <c r="I92" s="70" t="inlineStr">
        <is>
          <t>Measure before optimize</t>
        </is>
      </c>
    </row>
    <row r="93">
      <c r="A93" s="71" t="inlineStr">
        <is>
          <t>THE 3 PROJECTS TO BUILD (Portfolio)</t>
        </is>
      </c>
      <c r="B93" s="72" t="inlineStr">
        <is>
          <t>Project 1: RAG with Postgres+pgvector+Claude+FastAPI</t>
        </is>
      </c>
      <c r="C93" s="73" t="inlineStr">
        <is>
          <t>📌 To Do</t>
        </is>
      </c>
      <c r="D93" s="74" t="inlineStr">
        <is>
          <t>Must</t>
        </is>
      </c>
      <c r="E93" s="73" t="inlineStr">
        <is>
          <t>Hard</t>
        </is>
      </c>
      <c r="F93" s="73" t="n">
        <v>40</v>
      </c>
      <c r="G93" s="73" t="inlineStr"/>
      <c r="H93" s="73" t="inlineStr"/>
      <c r="I93" s="75" t="inlineStr">
        <is>
          <t>Core demo project</t>
        </is>
      </c>
    </row>
    <row r="94">
      <c r="A94" s="71" t="inlineStr">
        <is>
          <t>THE 3 PROJECTS TO BUILD (Portfolio)</t>
        </is>
      </c>
      <c r="B94" s="72" t="inlineStr">
        <is>
          <t>Project 2: MCP Agent connecting Slack/GitHub/DB</t>
        </is>
      </c>
      <c r="C94" s="73" t="inlineStr">
        <is>
          <t>📌 To Do</t>
        </is>
      </c>
      <c r="D94" s="74" t="inlineStr">
        <is>
          <t>Must</t>
        </is>
      </c>
      <c r="E94" s="73" t="inlineStr">
        <is>
          <t>Hard</t>
        </is>
      </c>
      <c r="F94" s="73" t="n">
        <v>40</v>
      </c>
      <c r="G94" s="73" t="inlineStr"/>
      <c r="H94" s="73" t="inlineStr"/>
      <c r="I94" s="75" t="inlineStr">
        <is>
          <t>Shows MCP mastery</t>
        </is>
      </c>
    </row>
    <row r="95">
      <c r="A95" s="71" t="inlineStr">
        <is>
          <t>THE 3 PROJECTS TO BUILD (Portfolio)</t>
        </is>
      </c>
      <c r="B95" s="72" t="inlineStr">
        <is>
          <t>Project 3: LangGraph multi-step agent + memory + evals</t>
        </is>
      </c>
      <c r="C95" s="73" t="inlineStr">
        <is>
          <t>📌 To Do</t>
        </is>
      </c>
      <c r="D95" s="74" t="inlineStr">
        <is>
          <t>Must</t>
        </is>
      </c>
      <c r="E95" s="73" t="inlineStr">
        <is>
          <t>Hard</t>
        </is>
      </c>
      <c r="F95" s="73" t="n">
        <v>50</v>
      </c>
      <c r="G95" s="73" t="inlineStr"/>
      <c r="H95" s="73" t="inlineStr"/>
      <c r="I95" s="75" t="inlineStr">
        <is>
          <t>Production-grade demo</t>
        </is>
      </c>
    </row>
    <row r="96">
      <c r="A96" s="76" t="inlineStr">
        <is>
          <t>TOTAL</t>
        </is>
      </c>
      <c r="B96" s="76" t="inlineStr">
        <is>
          <t>94 topics to master</t>
        </is>
      </c>
      <c r="C96" s="77" t="n"/>
      <c r="D96" s="77" t="n"/>
      <c r="E96" s="77" t="n"/>
      <c r="F96" s="76">
        <f>SUM(F2:F95)</f>
        <v/>
      </c>
      <c r="G96" s="77" t="n"/>
      <c r="H96" s="77" t="n"/>
      <c r="I96" s="77" t="n"/>
    </row>
  </sheetData>
  <autoFilter ref="A1:I95"/>
  <dataValidations count="3">
    <dataValidation sqref="C2:C95" showDropDown="0" showInputMessage="0" showErrorMessage="0" allowBlank="1" type="list">
      <formula1>"📌 To Do,🔄 In Progress,✅ Done,⏭️ Skipped"</formula1>
    </dataValidation>
    <dataValidation sqref="D2:D95" showDropDown="0" showInputMessage="0" showErrorMessage="0" allowBlank="1" type="list">
      <formula1>"Must,High,Medium,Low"</formula1>
    </dataValidation>
    <dataValidation sqref="E2:E95" showDropDown="0" showInputMessage="0" showErrorMessage="0" allowBlank="1" type="list">
      <formula1>"Easy,Medium,Hard"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60" customWidth="1" min="3" max="3"/>
    <col width="15" customWidth="1" min="4" max="4"/>
    <col width="15" customWidth="1" min="5" max="5"/>
  </cols>
  <sheetData>
    <row r="1" ht="40" customHeight="1">
      <c r="A1" s="78" t="inlineStr">
        <is>
          <t>📅  90-DAY WEEKLY LEARNING PLAN</t>
        </is>
      </c>
    </row>
    <row r="3" ht="30" customHeight="1">
      <c r="A3" s="4" t="inlineStr">
        <is>
          <t>Week</t>
        </is>
      </c>
      <c r="B3" s="4" t="inlineStr">
        <is>
          <t>Phase</t>
        </is>
      </c>
      <c r="C3" s="4" t="inlineStr">
        <is>
          <t>Focus Topics</t>
        </is>
      </c>
      <c r="D3" s="4" t="inlineStr">
        <is>
          <t>Status</t>
        </is>
      </c>
      <c r="E3" s="4" t="inlineStr">
        <is>
          <t>Completion Date</t>
        </is>
      </c>
    </row>
    <row r="4">
      <c r="A4" s="79" t="inlineStr">
        <is>
          <t>Week 1</t>
        </is>
      </c>
      <c r="B4" s="80" t="inlineStr">
        <is>
          <t>Foundations</t>
        </is>
      </c>
      <c r="C4" s="81" t="inlineStr">
        <is>
          <t>Python advanced + APIs &amp; JSON fundamentals</t>
        </is>
      </c>
      <c r="D4" s="82" t="inlineStr">
        <is>
          <t>📌 Not Started</t>
        </is>
      </c>
      <c r="E4" s="82" t="inlineStr"/>
    </row>
    <row r="5">
      <c r="A5" s="83" t="inlineStr">
        <is>
          <t>Week 2</t>
        </is>
      </c>
      <c r="B5" s="84" t="inlineStr">
        <is>
          <t>Foundations</t>
        </is>
      </c>
      <c r="C5" s="85" t="inlineStr">
        <is>
          <t>LLM basics + Prompt Engineering (Zero-shot, Few-shot)</t>
        </is>
      </c>
      <c r="D5" s="86" t="inlineStr">
        <is>
          <t>📌 Not Started</t>
        </is>
      </c>
      <c r="E5" s="86" t="inlineStr"/>
    </row>
    <row r="6">
      <c r="A6" s="79" t="inlineStr">
        <is>
          <t>Week 3</t>
        </is>
      </c>
      <c r="B6" s="80" t="inlineStr">
        <is>
          <t>Foundations</t>
        </is>
      </c>
      <c r="C6" s="81" t="inlineStr">
        <is>
          <t>Chain-of-Thought, ReAct, Tree-of-Thought patterns</t>
        </is>
      </c>
      <c r="D6" s="82" t="inlineStr">
        <is>
          <t>📌 Not Started</t>
        </is>
      </c>
      <c r="E6" s="82" t="inlineStr"/>
    </row>
    <row r="7">
      <c r="A7" s="83" t="inlineStr">
        <is>
          <t>Week 4</t>
        </is>
      </c>
      <c r="B7" s="84" t="inlineStr">
        <is>
          <t>Foundations</t>
        </is>
      </c>
      <c r="C7" s="85" t="inlineStr">
        <is>
          <t>Git workflows + Automation mindset + Logic flows</t>
        </is>
      </c>
      <c r="D7" s="86" t="inlineStr">
        <is>
          <t>📌 Not Started</t>
        </is>
      </c>
      <c r="E7" s="86" t="inlineStr"/>
    </row>
    <row r="8">
      <c r="A8" s="79" t="inlineStr">
        <is>
          <t>Week 5</t>
        </is>
      </c>
      <c r="B8" s="80" t="inlineStr">
        <is>
          <t>Core AI</t>
        </is>
      </c>
      <c r="C8" s="81" t="inlineStr">
        <is>
          <t>Transformers concepts + Attention mechanism</t>
        </is>
      </c>
      <c r="D8" s="82" t="inlineStr">
        <is>
          <t>📌 Not Started</t>
        </is>
      </c>
      <c r="E8" s="82" t="inlineStr"/>
    </row>
    <row r="9">
      <c r="A9" s="83" t="inlineStr">
        <is>
          <t>Week 6</t>
        </is>
      </c>
      <c r="B9" s="84" t="inlineStr">
        <is>
          <t>Core AI</t>
        </is>
      </c>
      <c r="C9" s="85" t="inlineStr">
        <is>
          <t>Embeddings + Postgres + pgvector setup</t>
        </is>
      </c>
      <c r="D9" s="86" t="inlineStr">
        <is>
          <t>📌 Not Started</t>
        </is>
      </c>
      <c r="E9" s="86" t="inlineStr"/>
    </row>
    <row r="10">
      <c r="A10" s="79" t="inlineStr">
        <is>
          <t>Week 7</t>
        </is>
      </c>
      <c r="B10" s="80" t="inlineStr">
        <is>
          <t>Core AI</t>
        </is>
      </c>
      <c r="C10" s="81" t="inlineStr">
        <is>
          <t>Claude API: tool calling, structured outputs</t>
        </is>
      </c>
      <c r="D10" s="82" t="inlineStr">
        <is>
          <t>📌 Not Started</t>
        </is>
      </c>
      <c r="E10" s="82" t="inlineStr"/>
    </row>
    <row r="11">
      <c r="A11" s="83" t="inlineStr">
        <is>
          <t>Week 8</t>
        </is>
      </c>
      <c r="B11" s="84" t="inlineStr">
        <is>
          <t>Core AI</t>
        </is>
      </c>
      <c r="C11" s="85" t="inlineStr">
        <is>
          <t>Build your first RAG: chunking + retrieval</t>
        </is>
      </c>
      <c r="D11" s="86" t="inlineStr">
        <is>
          <t>📌 Not Started</t>
        </is>
      </c>
      <c r="E11" s="86" t="inlineStr"/>
    </row>
    <row r="12">
      <c r="A12" s="79" t="inlineStr">
        <is>
          <t>Week 9</t>
        </is>
      </c>
      <c r="B12" s="80" t="inlineStr">
        <is>
          <t>Core AI</t>
        </is>
      </c>
      <c r="C12" s="81" t="inlineStr">
        <is>
          <t>RAG advanced: reranking, hybrid search, GraphRAG</t>
        </is>
      </c>
      <c r="D12" s="82" t="inlineStr">
        <is>
          <t>📌 Not Started</t>
        </is>
      </c>
      <c r="E12" s="82" t="inlineStr"/>
    </row>
    <row r="13">
      <c r="A13" s="83" t="inlineStr">
        <is>
          <t>Week 10</t>
        </is>
      </c>
      <c r="B13" s="84" t="inlineStr">
        <is>
          <t>Core AI</t>
        </is>
      </c>
      <c r="C13" s="85" t="inlineStr">
        <is>
          <t>Ollama local models + data extraction tools</t>
        </is>
      </c>
      <c r="D13" s="86" t="inlineStr">
        <is>
          <t>📌 Not Started</t>
        </is>
      </c>
      <c r="E13" s="86" t="inlineStr"/>
    </row>
    <row r="14">
      <c r="A14" s="79" t="inlineStr">
        <is>
          <t>Week 11</t>
        </is>
      </c>
      <c r="B14" s="80" t="inlineStr">
        <is>
          <t>Agents</t>
        </is>
      </c>
      <c r="C14" s="81" t="inlineStr">
        <is>
          <t>Tool calling deep dive + MCP fundamentals</t>
        </is>
      </c>
      <c r="D14" s="82" t="inlineStr">
        <is>
          <t>📌 Not Started</t>
        </is>
      </c>
      <c r="E14" s="82" t="inlineStr"/>
    </row>
    <row r="15">
      <c r="A15" s="83" t="inlineStr">
        <is>
          <t>Week 12</t>
        </is>
      </c>
      <c r="B15" s="84" t="inlineStr">
        <is>
          <t>Agents</t>
        </is>
      </c>
      <c r="C15" s="85" t="inlineStr">
        <is>
          <t>Build your first MCP Server (local stdio)</t>
        </is>
      </c>
      <c r="D15" s="86" t="inlineStr">
        <is>
          <t>📌 Not Started</t>
        </is>
      </c>
      <c r="E15" s="86" t="inlineStr"/>
    </row>
    <row r="16">
      <c r="A16" s="79" t="inlineStr">
        <is>
          <t>Week 13</t>
        </is>
      </c>
      <c r="B16" s="80" t="inlineStr">
        <is>
          <t>Agents</t>
        </is>
      </c>
      <c r="C16" s="81" t="inlineStr">
        <is>
          <t>LangChain basics + LangGraph fundamentals</t>
        </is>
      </c>
      <c r="D16" s="82" t="inlineStr">
        <is>
          <t>📌 Not Started</t>
        </is>
      </c>
      <c r="E16" s="82" t="inlineStr"/>
    </row>
    <row r="17">
      <c r="A17" s="83" t="inlineStr">
        <is>
          <t>Week 14</t>
        </is>
      </c>
      <c r="B17" s="84" t="inlineStr">
        <is>
          <t>Agents</t>
        </is>
      </c>
      <c r="C17" s="85" t="inlineStr">
        <is>
          <t>LangGraph: stateful multi-step workflows</t>
        </is>
      </c>
      <c r="D17" s="86" t="inlineStr">
        <is>
          <t>📌 Not Started</t>
        </is>
      </c>
      <c r="E17" s="86" t="inlineStr"/>
    </row>
    <row r="18">
      <c r="A18" s="79" t="inlineStr">
        <is>
          <t>Week 15</t>
        </is>
      </c>
      <c r="B18" s="80" t="inlineStr">
        <is>
          <t>Agents</t>
        </is>
      </c>
      <c r="C18" s="81" t="inlineStr">
        <is>
          <t>Agent Memory: Short-term + Long-term systems</t>
        </is>
      </c>
      <c r="D18" s="82" t="inlineStr">
        <is>
          <t>📌 Not Started</t>
        </is>
      </c>
      <c r="E18" s="82" t="inlineStr"/>
    </row>
    <row r="19">
      <c r="A19" s="83" t="inlineStr">
        <is>
          <t>Week 16</t>
        </is>
      </c>
      <c r="B19" s="84" t="inlineStr">
        <is>
          <t>Agents</t>
        </is>
      </c>
      <c r="C19" s="85" t="inlineStr">
        <is>
          <t>Memory: Episodic + Semantic + Procedural</t>
        </is>
      </c>
      <c r="D19" s="86" t="inlineStr">
        <is>
          <t>📌 Not Started</t>
        </is>
      </c>
      <c r="E19" s="86" t="inlineStr"/>
    </row>
    <row r="20">
      <c r="A20" s="79" t="inlineStr">
        <is>
          <t>Week 17</t>
        </is>
      </c>
      <c r="B20" s="80" t="inlineStr">
        <is>
          <t>Production</t>
        </is>
      </c>
      <c r="C20" s="81" t="inlineStr">
        <is>
          <t>Evaluation-first: Golden datasets + LLM-as-judge</t>
        </is>
      </c>
      <c r="D20" s="82" t="inlineStr">
        <is>
          <t>📌 Not Started</t>
        </is>
      </c>
      <c r="E20" s="82" t="inlineStr"/>
    </row>
    <row r="21">
      <c r="A21" s="83" t="inlineStr">
        <is>
          <t>Week 18</t>
        </is>
      </c>
      <c r="B21" s="84" t="inlineStr">
        <is>
          <t>Production</t>
        </is>
      </c>
      <c r="C21" s="85" t="inlineStr">
        <is>
          <t>Ragas / Giskard / Trulens + Human-in-loop</t>
        </is>
      </c>
      <c r="D21" s="86" t="inlineStr">
        <is>
          <t>📌 Not Started</t>
        </is>
      </c>
      <c r="E21" s="86" t="inlineStr"/>
    </row>
    <row r="22">
      <c r="A22" s="79" t="inlineStr">
        <is>
          <t>Week 19</t>
        </is>
      </c>
      <c r="B22" s="80" t="inlineStr">
        <is>
          <t>Production</t>
        </is>
      </c>
      <c r="C22" s="81" t="inlineStr">
        <is>
          <t>FastAPI: async + admission control</t>
        </is>
      </c>
      <c r="D22" s="82" t="inlineStr">
        <is>
          <t>📌 Not Started</t>
        </is>
      </c>
      <c r="E22" s="82" t="inlineStr"/>
    </row>
    <row r="23">
      <c r="A23" s="83" t="inlineStr">
        <is>
          <t>Week 20</t>
        </is>
      </c>
      <c r="B23" s="84" t="inlineStr">
        <is>
          <t>Production</t>
        </is>
      </c>
      <c r="C23" s="85" t="inlineStr">
        <is>
          <t>Docker + Kubernetes basics</t>
        </is>
      </c>
      <c r="D23" s="86" t="inlineStr">
        <is>
          <t>📌 Not Started</t>
        </is>
      </c>
      <c r="E23" s="86" t="inlineStr"/>
    </row>
    <row r="24">
      <c r="A24" s="79" t="inlineStr">
        <is>
          <t>Week 21</t>
        </is>
      </c>
      <c r="B24" s="80" t="inlineStr">
        <is>
          <t>Production</t>
        </is>
      </c>
      <c r="C24" s="81" t="inlineStr">
        <is>
          <t>CI/CD for AI + Observability + Langfuse</t>
        </is>
      </c>
      <c r="D24" s="82" t="inlineStr">
        <is>
          <t>📌 Not Started</t>
        </is>
      </c>
      <c r="E24" s="82" t="inlineStr"/>
    </row>
    <row r="25">
      <c r="A25" s="83" t="inlineStr">
        <is>
          <t>Week 22</t>
        </is>
      </c>
      <c r="B25" s="84" t="inlineStr">
        <is>
          <t>Cloud</t>
        </is>
      </c>
      <c r="C25" s="85" t="inlineStr">
        <is>
          <t>AWS: SageMaker + Bedrock + Claude on Bedrock</t>
        </is>
      </c>
      <c r="D25" s="86" t="inlineStr">
        <is>
          <t>📌 Not Started</t>
        </is>
      </c>
      <c r="E25" s="86" t="inlineStr"/>
    </row>
    <row r="26">
      <c r="A26" s="74" t="inlineStr">
        <is>
          <t>Week 23</t>
        </is>
      </c>
      <c r="B26" s="74" t="inlineStr">
        <is>
          <t>Project 1</t>
        </is>
      </c>
      <c r="C26" s="72" t="inlineStr">
        <is>
          <t>🏗️ BUILD: RAG System end-to-end</t>
        </is>
      </c>
      <c r="D26" s="74" t="inlineStr">
        <is>
          <t>📌 Not Started</t>
        </is>
      </c>
      <c r="E26" s="74" t="inlineStr"/>
    </row>
    <row r="27">
      <c r="A27" s="74" t="inlineStr">
        <is>
          <t>Week 24</t>
        </is>
      </c>
      <c r="B27" s="74" t="inlineStr">
        <is>
          <t>Project 1</t>
        </is>
      </c>
      <c r="C27" s="72" t="inlineStr">
        <is>
          <t>🏗️ BUILD: RAG System — deploy + evaluate</t>
        </is>
      </c>
      <c r="D27" s="74" t="inlineStr">
        <is>
          <t>📌 Not Started</t>
        </is>
      </c>
      <c r="E27" s="74" t="inlineStr"/>
    </row>
    <row r="28">
      <c r="A28" s="74" t="inlineStr">
        <is>
          <t>Week 25</t>
        </is>
      </c>
      <c r="B28" s="74" t="inlineStr">
        <is>
          <t>Project 2</t>
        </is>
      </c>
      <c r="C28" s="72" t="inlineStr">
        <is>
          <t>🏗️ BUILD: MCP Agent connecting Slack/GitHub</t>
        </is>
      </c>
      <c r="D28" s="74" t="inlineStr">
        <is>
          <t>📌 Not Started</t>
        </is>
      </c>
      <c r="E28" s="74" t="inlineStr"/>
    </row>
    <row r="29">
      <c r="A29" s="74" t="inlineStr">
        <is>
          <t>Week 26</t>
        </is>
      </c>
      <c r="B29" s="74" t="inlineStr">
        <is>
          <t>Project 2</t>
        </is>
      </c>
      <c r="C29" s="72" t="inlineStr">
        <is>
          <t>🏗️ BUILD: MCP Agent — polish + document</t>
        </is>
      </c>
      <c r="D29" s="74" t="inlineStr">
        <is>
          <t>📌 Not Started</t>
        </is>
      </c>
      <c r="E29" s="74" t="inlineStr"/>
    </row>
    <row r="30">
      <c r="A30" s="74" t="inlineStr">
        <is>
          <t>Week 27</t>
        </is>
      </c>
      <c r="B30" s="74" t="inlineStr">
        <is>
          <t>Project 3</t>
        </is>
      </c>
      <c r="C30" s="72" t="inlineStr">
        <is>
          <t>🏗️ BUILD: LangGraph multi-agent with memory</t>
        </is>
      </c>
      <c r="D30" s="74" t="inlineStr">
        <is>
          <t>📌 Not Started</t>
        </is>
      </c>
      <c r="E30" s="74" t="inlineStr"/>
    </row>
    <row r="31">
      <c r="A31" s="74" t="inlineStr">
        <is>
          <t>Week 28</t>
        </is>
      </c>
      <c r="B31" s="74" t="inlineStr">
        <is>
          <t>Project 3</t>
        </is>
      </c>
      <c r="C31" s="72" t="inlineStr">
        <is>
          <t>🏗️ BUILD: Add evaluation + governance layer</t>
        </is>
      </c>
      <c r="D31" s="74" t="inlineStr">
        <is>
          <t>📌 Not Started</t>
        </is>
      </c>
      <c r="E31" s="74" t="inlineStr"/>
    </row>
    <row r="32">
      <c r="A32" s="79" t="inlineStr">
        <is>
          <t>Week 29</t>
        </is>
      </c>
      <c r="B32" s="80" t="inlineStr">
        <is>
          <t>Advanced</t>
        </is>
      </c>
      <c r="C32" s="81" t="inlineStr">
        <is>
          <t>Multi-agent patterns + SLMs + cost optimization</t>
        </is>
      </c>
      <c r="D32" s="82" t="inlineStr">
        <is>
          <t>📌 Not Started</t>
        </is>
      </c>
      <c r="E32" s="82" t="inlineStr"/>
    </row>
    <row r="33">
      <c r="A33" s="74" t="inlineStr">
        <is>
          <t>Week 30</t>
        </is>
      </c>
      <c r="B33" s="74" t="inlineStr">
        <is>
          <t>Portfolio</t>
        </is>
      </c>
      <c r="C33" s="72" t="inlineStr">
        <is>
          <t>📝 Document all 3 projects + publish on GitHub</t>
        </is>
      </c>
      <c r="D33" s="74" t="inlineStr">
        <is>
          <t>📌 Not Started</t>
        </is>
      </c>
      <c r="E33" s="74" t="inlineStr"/>
    </row>
  </sheetData>
  <mergeCells count="1">
    <mergeCell ref="A1:E1"/>
  </mergeCells>
  <dataValidations count="1">
    <dataValidation sqref="D4:D33" showDropDown="0" showInputMessage="0" showErrorMessage="0" allowBlank="1" type="list">
      <formula1>"📌 Not Started,🔄 In Progress,✅ Done"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0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45" customWidth="1" min="2" max="2"/>
    <col width="8" customWidth="1" min="3" max="3"/>
    <col width="45" customWidth="1" min="4" max="4"/>
  </cols>
  <sheetData>
    <row r="1" ht="40" customHeight="1">
      <c r="A1" s="78" t="inlineStr">
        <is>
          <t>🧠  2026 MINDSET SHIFTS</t>
        </is>
      </c>
    </row>
    <row r="2">
      <c r="A2" s="87" t="inlineStr">
        <is>
          <t>The most important thing from the LinkedIn posts — how to THINK, not just what to learn</t>
        </is>
      </c>
    </row>
    <row r="4">
      <c r="A4" s="4" t="inlineStr"/>
      <c r="B4" s="4" t="inlineStr">
        <is>
          <t>❌ OLD Mindset (2024)</t>
        </is>
      </c>
      <c r="C4" s="4" t="inlineStr">
        <is>
          <t>→</t>
        </is>
      </c>
      <c r="D4" s="4" t="inlineStr">
        <is>
          <t>✅ NEW Mindset (2026)</t>
        </is>
      </c>
    </row>
    <row r="5">
      <c r="A5" s="88" t="n">
        <v>1</v>
      </c>
      <c r="B5" s="89" t="inlineStr">
        <is>
          <t>Framework-driven</t>
        </is>
      </c>
      <c r="C5" s="90" t="inlineStr">
        <is>
          <t>→</t>
        </is>
      </c>
      <c r="D5" s="91" t="inlineStr">
        <is>
          <t>Model + Tools + Context-driven</t>
        </is>
      </c>
    </row>
    <row r="6">
      <c r="A6" s="92" t="n">
        <v>2</v>
      </c>
      <c r="B6" s="93" t="inlineStr">
        <is>
          <t>Chains</t>
        </is>
      </c>
      <c r="C6" s="94" t="inlineStr">
        <is>
          <t>→</t>
        </is>
      </c>
      <c r="D6" s="95" t="inlineStr">
        <is>
          <t>Agents with decision loops</t>
        </is>
      </c>
    </row>
    <row r="7">
      <c r="A7" s="88" t="n">
        <v>3</v>
      </c>
      <c r="B7" s="89" t="inlineStr">
        <is>
          <t>Build first</t>
        </is>
      </c>
      <c r="C7" s="90" t="inlineStr">
        <is>
          <t>→</t>
        </is>
      </c>
      <c r="D7" s="91" t="inlineStr">
        <is>
          <t>Evaluate first</t>
        </is>
      </c>
    </row>
    <row r="8">
      <c r="A8" s="92" t="n">
        <v>4</v>
      </c>
      <c r="B8" s="93" t="inlineStr">
        <is>
          <t>Chat-based AI</t>
        </is>
      </c>
      <c r="C8" s="94" t="inlineStr">
        <is>
          <t>→</t>
        </is>
      </c>
      <c r="D8" s="95" t="inlineStr">
        <is>
          <t>System-based AI</t>
        </is>
      </c>
    </row>
    <row r="9">
      <c r="A9" s="88" t="n">
        <v>5</v>
      </c>
      <c r="B9" s="89" t="inlineStr">
        <is>
          <t>One-off prompts</t>
        </is>
      </c>
      <c r="C9" s="90" t="inlineStr">
        <is>
          <t>→</t>
        </is>
      </c>
      <c r="D9" s="91" t="inlineStr">
        <is>
          <t>Reusable workflows</t>
        </is>
      </c>
    </row>
    <row r="10">
      <c r="A10" s="92" t="n">
        <v>6</v>
      </c>
      <c r="B10" s="93" t="inlineStr">
        <is>
          <t>Static outputs</t>
        </is>
      </c>
      <c r="C10" s="94" t="inlineStr">
        <is>
          <t>→</t>
        </is>
      </c>
      <c r="D10" s="95" t="inlineStr">
        <is>
          <t>Autonomous execution</t>
        </is>
      </c>
    </row>
    <row r="11">
      <c r="A11" s="88" t="n">
        <v>7</v>
      </c>
      <c r="B11" s="89" t="inlineStr">
        <is>
          <t>Writing prompts</t>
        </is>
      </c>
      <c r="C11" s="90" t="inlineStr">
        <is>
          <t>→</t>
        </is>
      </c>
      <c r="D11" s="91" t="inlineStr">
        <is>
          <t>Designing reasoning frameworks</t>
        </is>
      </c>
    </row>
    <row r="12">
      <c r="A12" s="92" t="n">
        <v>8</v>
      </c>
      <c r="B12" s="93" t="inlineStr">
        <is>
          <t>Building agents</t>
        </is>
      </c>
      <c r="C12" s="94" t="inlineStr">
        <is>
          <t>→</t>
        </is>
      </c>
      <c r="D12" s="95" t="inlineStr">
        <is>
          <t>Engineering reliable systems</t>
        </is>
      </c>
    </row>
    <row r="13">
      <c r="A13" s="88" t="n">
        <v>9</v>
      </c>
      <c r="B13" s="89" t="inlineStr">
        <is>
          <t>More autonomy = better</t>
        </is>
      </c>
      <c r="C13" s="90" t="inlineStr">
        <is>
          <t>→</t>
        </is>
      </c>
      <c r="D13" s="91" t="inlineStr">
        <is>
          <t>More control = production-ready</t>
        </is>
      </c>
    </row>
    <row r="14">
      <c r="A14" s="92" t="n">
        <v>10</v>
      </c>
      <c r="B14" s="93" t="inlineStr">
        <is>
          <t>LangChain for everything</t>
        </is>
      </c>
      <c r="C14" s="94" t="inlineStr">
        <is>
          <t>→</t>
        </is>
      </c>
      <c r="D14" s="95" t="inlineStr">
        <is>
          <t>Native SDK + MCP (skip heavy abstractions)</t>
        </is>
      </c>
    </row>
    <row r="15">
      <c r="A15" s="88" t="n">
        <v>11</v>
      </c>
      <c r="B15" s="89" t="inlineStr">
        <is>
          <t>Vector DB + SQL separately</t>
        </is>
      </c>
      <c r="C15" s="90" t="inlineStr">
        <is>
          <t>→</t>
        </is>
      </c>
      <c r="D15" s="91" t="inlineStr">
        <is>
          <t>Postgres + pgvector (single store)</t>
        </is>
      </c>
    </row>
    <row r="16">
      <c r="A16" s="92" t="n">
        <v>12</v>
      </c>
      <c r="B16" s="93" t="inlineStr">
        <is>
          <t>RAG as default</t>
        </is>
      </c>
      <c r="C16" s="94" t="inlineStr">
        <is>
          <t>→</t>
        </is>
      </c>
      <c r="D16" s="95" t="inlineStr">
        <is>
          <t>RAG as one pattern among many</t>
        </is>
      </c>
    </row>
    <row r="17">
      <c r="A17" s="88" t="n">
        <v>13</v>
      </c>
      <c r="B17" s="89" t="inlineStr">
        <is>
          <t>Fine-tune everything</t>
        </is>
      </c>
      <c r="C17" s="90" t="inlineStr">
        <is>
          <t>→</t>
        </is>
      </c>
      <c r="D17" s="91" t="inlineStr">
        <is>
          <t>70% use off-the-shelf models</t>
        </is>
      </c>
    </row>
    <row r="18">
      <c r="A18" s="92" t="n">
        <v>14</v>
      </c>
      <c r="B18" s="93" t="inlineStr">
        <is>
          <t>Bigger model = better</t>
        </is>
      </c>
      <c r="C18" s="94" t="inlineStr">
        <is>
          <t>→</t>
        </is>
      </c>
      <c r="D18" s="95" t="inlineStr">
        <is>
          <t>Right-size the model to the task</t>
        </is>
      </c>
    </row>
    <row r="19">
      <c r="A19" s="88" t="n">
        <v>15</v>
      </c>
      <c r="B19" s="89" t="inlineStr">
        <is>
          <t>Automated benchmarks only</t>
        </is>
      </c>
      <c r="C19" s="90" t="inlineStr">
        <is>
          <t>→</t>
        </is>
      </c>
      <c r="D19" s="91" t="inlineStr">
        <is>
          <t>Human-in-loop + LLM-as-judge</t>
        </is>
      </c>
    </row>
    <row r="20">
      <c r="A20" s="92" t="n">
        <v>16</v>
      </c>
      <c r="B20" s="93" t="inlineStr">
        <is>
          <t>Skip governance</t>
        </is>
      </c>
      <c r="C20" s="94" t="inlineStr">
        <is>
          <t>→</t>
        </is>
      </c>
      <c r="D20" s="95" t="inlineStr">
        <is>
          <t>Governance from Day 1 (Layer 8)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6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50" customWidth="1" min="2" max="2"/>
    <col width="55" customWidth="1" min="3" max="3"/>
  </cols>
  <sheetData>
    <row r="1" ht="40" customHeight="1">
      <c r="A1" s="78" t="inlineStr">
        <is>
          <t>🚫  WHAT TO SKIP / DEPRIORITIZE</t>
        </is>
      </c>
    </row>
    <row r="2">
      <c r="A2" s="87" t="inlineStr">
        <is>
          <t>Things that look important but will waste your time — avoid these traps</t>
        </is>
      </c>
    </row>
    <row r="4">
      <c r="A4" s="4" t="inlineStr">
        <is>
          <t>#</t>
        </is>
      </c>
      <c r="B4" s="4" t="inlineStr">
        <is>
          <t>Don't Do This</t>
        </is>
      </c>
      <c r="C4" s="4" t="inlineStr">
        <is>
          <t>Do This Instead</t>
        </is>
      </c>
    </row>
    <row r="5">
      <c r="A5" s="88" t="n">
        <v>1</v>
      </c>
      <c r="B5" s="89" t="inlineStr">
        <is>
          <t>❌ Don't over-learn every framework</t>
        </is>
      </c>
      <c r="C5" s="91" t="inlineStr">
        <is>
          <t>✅ Learn LangChain/LangGraph well — skip the 10 others</t>
        </is>
      </c>
    </row>
    <row r="6">
      <c r="A6" s="92" t="n">
        <v>2</v>
      </c>
      <c r="B6" s="93" t="inlineStr">
        <is>
          <t>❌ Don't default to RAG for everything</t>
        </is>
      </c>
      <c r="C6" s="95" t="inlineStr">
        <is>
          <t>✅ Pick retrieval pattern based on need (long context / RAG / GraphRAG / agentic search)</t>
        </is>
      </c>
    </row>
    <row r="7">
      <c r="A7" s="88" t="n">
        <v>3</v>
      </c>
      <c r="B7" s="89" t="inlineStr">
        <is>
          <t>❌ Don't fine-tune first</t>
        </is>
      </c>
      <c r="C7" s="91" t="inlineStr">
        <is>
          <t>✅ 70% of production teams use off-the-shelf models — start there</t>
        </is>
      </c>
    </row>
    <row r="8">
      <c r="A8" s="92" t="n">
        <v>4</v>
      </c>
      <c r="B8" s="93" t="inlineStr">
        <is>
          <t>❌ Don't chase 100 YouTube tutorials</t>
        </is>
      </c>
      <c r="C8" s="95" t="inlineStr">
        <is>
          <t>✅ Pick the 8 recommended videos, go deep on each</t>
        </is>
      </c>
    </row>
    <row r="9">
      <c r="A9" s="88" t="n">
        <v>5</v>
      </c>
      <c r="B9" s="89" t="inlineStr">
        <is>
          <t>❌ Don't start with frameworks</t>
        </is>
      </c>
      <c r="C9" s="91" t="inlineStr">
        <is>
          <t>✅ Learn fundamentals first: APIs, JSON, prompts, control flow</t>
        </is>
      </c>
    </row>
    <row r="10">
      <c r="A10" s="92" t="n">
        <v>6</v>
      </c>
      <c r="B10" s="93" t="inlineStr">
        <is>
          <t>❌ Don't build without evaluation</t>
        </is>
      </c>
      <c r="C10" s="95" t="inlineStr">
        <is>
          <t>✅ Build golden datasets BEFORE scaling any agent</t>
        </is>
      </c>
    </row>
    <row r="11">
      <c r="A11" s="88" t="n">
        <v>7</v>
      </c>
      <c r="B11" s="89" t="inlineStr">
        <is>
          <t>❌ Don't give agents full autonomy</t>
        </is>
      </c>
      <c r="C11" s="91" t="inlineStr">
        <is>
          <t>✅ More constraint = more reliable (Berkeley research)</t>
        </is>
      </c>
    </row>
    <row r="12">
      <c r="A12" s="92" t="n">
        <v>8</v>
      </c>
      <c r="B12" s="93" t="inlineStr">
        <is>
          <t>❌ Don't skip governance</t>
        </is>
      </c>
      <c r="C12" s="95" t="inlineStr">
        <is>
          <t>✅ 89% of teams skip Layer 8 — that's why they fail</t>
        </is>
      </c>
    </row>
    <row r="13">
      <c r="A13" s="88" t="n">
        <v>9</v>
      </c>
      <c r="B13" s="89" t="inlineStr">
        <is>
          <t>❌ Don't use the biggest model by default</t>
        </is>
      </c>
      <c r="C13" s="91" t="inlineStr">
        <is>
          <t>✅ Right-size: SLMs for edge, LLMs for complex reasoning</t>
        </is>
      </c>
    </row>
    <row r="14">
      <c r="A14" s="92" t="n">
        <v>10</v>
      </c>
      <c r="B14" s="93" t="inlineStr">
        <is>
          <t>❌ Don't build separate Vector DB + SQL</t>
        </is>
      </c>
      <c r="C14" s="95" t="inlineStr">
        <is>
          <t>✅ Postgres + pgvector = single modern store</t>
        </is>
      </c>
    </row>
    <row r="15">
      <c r="A15" s="88" t="n">
        <v>11</v>
      </c>
      <c r="B15" s="89" t="inlineStr">
        <is>
          <t>❌ Don't chase 'viral LinkedIn post' tools</t>
        </is>
      </c>
      <c r="C15" s="91" t="inlineStr">
        <is>
          <t>✅ They kill your authentic voice</t>
        </is>
      </c>
    </row>
    <row r="16">
      <c r="A16" s="92" t="n">
        <v>12</v>
      </c>
      <c r="B16" s="93" t="inlineStr">
        <is>
          <t>❌ Don't skip MCP</t>
        </is>
      </c>
      <c r="C16" s="95" t="inlineStr">
        <is>
          <t>✅ It's the most important spec to understand in 2026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3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50" customWidth="1" min="3" max="3"/>
    <col width="20" customWidth="1" min="4" max="4"/>
  </cols>
  <sheetData>
    <row r="1" ht="40" customHeight="1">
      <c r="A1" s="78" t="inlineStr">
        <is>
          <t>🔗  RECOMMENDED LEARNING RESOURCES</t>
        </is>
      </c>
    </row>
    <row r="3">
      <c r="A3" s="4" t="inlineStr">
        <is>
          <t>#</t>
        </is>
      </c>
      <c r="B3" s="4" t="inlineStr">
        <is>
          <t>Resource</t>
        </is>
      </c>
      <c r="C3" s="4" t="inlineStr">
        <is>
          <t>Description</t>
        </is>
      </c>
      <c r="D3" s="4" t="inlineStr">
        <is>
          <t>Priority</t>
        </is>
      </c>
    </row>
    <row r="4">
      <c r="A4" s="88" t="n">
        <v>1</v>
      </c>
      <c r="B4" s="96" t="inlineStr">
        <is>
          <t>Anthropic Claude 101</t>
        </is>
      </c>
      <c r="C4" s="97" t="inlineStr">
        <is>
          <t>Baseline fluency with Claude</t>
        </is>
      </c>
      <c r="D4" s="98" t="inlineStr">
        <is>
          <t>Must</t>
        </is>
      </c>
    </row>
    <row r="5">
      <c r="A5" s="92" t="n">
        <v>2</v>
      </c>
      <c r="B5" s="99" t="inlineStr">
        <is>
          <t>Anthropic: Building with Claude API</t>
        </is>
      </c>
      <c r="C5" s="100" t="inlineStr">
        <is>
          <t>Core API skills</t>
        </is>
      </c>
      <c r="D5" s="101" t="inlineStr">
        <is>
          <t>Must</t>
        </is>
      </c>
    </row>
    <row r="6">
      <c r="A6" s="88" t="n">
        <v>3</v>
      </c>
      <c r="B6" s="96" t="inlineStr">
        <is>
          <t>Anthropic: Model Context Protocol intro</t>
        </is>
      </c>
      <c r="C6" s="97" t="inlineStr">
        <is>
          <t>The most important 2026 spec</t>
        </is>
      </c>
      <c r="D6" s="98" t="inlineStr">
        <is>
          <t>Must</t>
        </is>
      </c>
    </row>
    <row r="7">
      <c r="A7" s="92" t="n">
        <v>4</v>
      </c>
      <c r="B7" s="99" t="inlineStr">
        <is>
          <t>Anthropic: Claude Code in Action</t>
        </is>
      </c>
      <c r="C7" s="100" t="inlineStr">
        <is>
          <t>How AI-native teams build</t>
        </is>
      </c>
      <c r="D7" s="102" t="inlineStr">
        <is>
          <t>High</t>
        </is>
      </c>
    </row>
    <row r="8">
      <c r="A8" s="88" t="n">
        <v>5</v>
      </c>
      <c r="B8" s="96" t="inlineStr">
        <is>
          <t>Anthropic: Introduction to Agent Skills</t>
        </is>
      </c>
      <c r="C8" s="97" t="inlineStr">
        <is>
          <t>Reusable agent modules</t>
        </is>
      </c>
      <c r="D8" s="103" t="inlineStr">
        <is>
          <t>High</t>
        </is>
      </c>
    </row>
    <row r="9">
      <c r="A9" s="92" t="n">
        <v>6</v>
      </c>
      <c r="B9" s="99" t="inlineStr">
        <is>
          <t>Anthropic: MCP Advanced Topics</t>
        </is>
      </c>
      <c r="C9" s="100" t="inlineStr">
        <is>
          <t>Deep MCP knowledge</t>
        </is>
      </c>
      <c r="D9" s="102" t="inlineStr">
        <is>
          <t>High</t>
        </is>
      </c>
    </row>
    <row r="10">
      <c r="A10" s="88" t="n">
        <v>7</v>
      </c>
      <c r="B10" s="96" t="inlineStr">
        <is>
          <t>Anthropic: AI Fluency Framework</t>
        </is>
      </c>
      <c r="C10" s="97" t="inlineStr">
        <is>
          <t>Collaborate with AI properly</t>
        </is>
      </c>
      <c r="D10" s="98" t="inlineStr">
        <is>
          <t>Must</t>
        </is>
      </c>
    </row>
    <row r="11">
      <c r="A11" s="92" t="n">
        <v>8</v>
      </c>
      <c r="B11" s="99" t="inlineStr">
        <is>
          <t>Claude on Bedrock (AWS) course</t>
        </is>
      </c>
      <c r="C11" s="100" t="inlineStr">
        <is>
          <t>Enterprise Claude deployment</t>
        </is>
      </c>
      <c r="D11" s="104" t="inlineStr">
        <is>
          <t>Medium</t>
        </is>
      </c>
    </row>
    <row r="12">
      <c r="A12" s="88" t="n">
        <v>9</v>
      </c>
      <c r="B12" s="96" t="inlineStr">
        <is>
          <t>Claude on Vertex AI (GCP) course</t>
        </is>
      </c>
      <c r="C12" s="97" t="inlineStr">
        <is>
          <t>GCP Claude deployment</t>
        </is>
      </c>
      <c r="D12" s="105" t="inlineStr">
        <is>
          <t>Medium</t>
        </is>
      </c>
    </row>
    <row r="13">
      <c r="A13" s="92" t="n">
        <v>10</v>
      </c>
      <c r="B13" s="99" t="inlineStr">
        <is>
          <t>Stanford: Agentic AI Overview</t>
        </is>
      </c>
      <c r="C13" s="100" t="inlineStr">
        <is>
          <t>Academic foundation</t>
        </is>
      </c>
      <c r="D13" s="102" t="inlineStr">
        <is>
          <t>High</t>
        </is>
      </c>
    </row>
    <row r="14">
      <c r="A14" s="88" t="n">
        <v>11</v>
      </c>
      <c r="B14" s="96" t="inlineStr">
        <is>
          <t>Building &amp; Evaluating Agents course</t>
        </is>
      </c>
      <c r="C14" s="97" t="inlineStr">
        <is>
          <t>Eval-first approach</t>
        </is>
      </c>
      <c r="D14" s="98" t="inlineStr">
        <is>
          <t>Must</t>
        </is>
      </c>
    </row>
    <row r="15">
      <c r="A15" s="92" t="n">
        <v>12</v>
      </c>
      <c r="B15" s="99" t="inlineStr">
        <is>
          <t>Building Effective Agents (Anthropic blog)</t>
        </is>
      </c>
      <c r="C15" s="100" t="inlineStr">
        <is>
          <t>Architecture patterns</t>
        </is>
      </c>
      <c r="D15" s="101" t="inlineStr">
        <is>
          <t>Must</t>
        </is>
      </c>
    </row>
    <row r="16">
      <c r="A16" s="88" t="n">
        <v>13</v>
      </c>
      <c r="B16" s="96" t="inlineStr">
        <is>
          <t>Philo Agents tutorial</t>
        </is>
      </c>
      <c r="C16" s="97" t="inlineStr">
        <is>
          <t>Hands-on agent building</t>
        </is>
      </c>
      <c r="D16" s="103" t="inlineStr">
        <is>
          <t>High</t>
        </is>
      </c>
    </row>
    <row r="17">
      <c r="A17" s="92" t="n">
        <v>14</v>
      </c>
      <c r="B17" s="99" t="inlineStr">
        <is>
          <t>UC Berkeley Agent Research Paper</t>
        </is>
      </c>
      <c r="C17" s="100" t="inlineStr">
        <is>
          <t>What actually works in production</t>
        </is>
      </c>
      <c r="D17" s="102" t="inlineStr">
        <is>
          <t>High</t>
        </is>
      </c>
    </row>
    <row r="18">
      <c r="A18" s="88" t="n">
        <v>15</v>
      </c>
      <c r="B18" s="96" t="inlineStr">
        <is>
          <t>LangChain documentation</t>
        </is>
      </c>
      <c r="C18" s="97" t="inlineStr">
        <is>
          <t>Framework reference</t>
        </is>
      </c>
      <c r="D18" s="103" t="inlineStr">
        <is>
          <t>High</t>
        </is>
      </c>
    </row>
    <row r="19">
      <c r="A19" s="92" t="n">
        <v>16</v>
      </c>
      <c r="B19" s="99" t="inlineStr">
        <is>
          <t>LangGraph tutorials</t>
        </is>
      </c>
      <c r="C19" s="100" t="inlineStr">
        <is>
          <t>Stateful workflows</t>
        </is>
      </c>
      <c r="D19" s="101" t="inlineStr">
        <is>
          <t>Must</t>
        </is>
      </c>
    </row>
    <row r="20">
      <c r="A20" s="88" t="n">
        <v>17</v>
      </c>
      <c r="B20" s="96" t="inlineStr">
        <is>
          <t>Ollama quickstart</t>
        </is>
      </c>
      <c r="C20" s="97" t="inlineStr">
        <is>
          <t>Local model running</t>
        </is>
      </c>
      <c r="D20" s="105" t="inlineStr">
        <is>
          <t>Medium</t>
        </is>
      </c>
    </row>
    <row r="21">
      <c r="A21" s="92" t="n">
        <v>18</v>
      </c>
      <c r="B21" s="99" t="inlineStr">
        <is>
          <t>Postgres + pgvector tutorial</t>
        </is>
      </c>
      <c r="C21" s="100" t="inlineStr">
        <is>
          <t>Modern vector storage</t>
        </is>
      </c>
      <c r="D21" s="101" t="inlineStr">
        <is>
          <t>Must</t>
        </is>
      </c>
    </row>
    <row r="22">
      <c r="A22" s="88" t="n">
        <v>19</v>
      </c>
      <c r="B22" s="96" t="inlineStr">
        <is>
          <t>Ragas documentation</t>
        </is>
      </c>
      <c r="C22" s="97" t="inlineStr">
        <is>
          <t>LLM evaluation framework</t>
        </is>
      </c>
      <c r="D22" s="103" t="inlineStr">
        <is>
          <t>High</t>
        </is>
      </c>
    </row>
    <row r="23">
      <c r="A23" s="92" t="n">
        <v>20</v>
      </c>
      <c r="B23" s="99" t="inlineStr">
        <is>
          <t>FastAPI official docs</t>
        </is>
      </c>
      <c r="C23" s="100" t="inlineStr">
        <is>
          <t>Production AI APIs</t>
        </is>
      </c>
      <c r="D23" s="101" t="inlineStr">
        <is>
          <t>Must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2026-04-19T08:08:12Z</dcterms:created>
  <dcterms:modified xmlns:dcterms="http://purl.org/dc/terms/" xmlns:xsi="http://www.w3.org/2001/XMLSchema-instance" xsi:type="dcterms:W3CDTF">2026-04-19T08:08:12Z</dcterms:modified>
</cp:coreProperties>
</file>